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7" sheetId="1" state="visible" r:id="rId3"/>
    <sheet name="EX8" sheetId="2" state="visible" r:id="rId4"/>
    <sheet name="EX9" sheetId="3" state="visible" r:id="rId5"/>
    <sheet name="EX10" sheetId="4" state="visible" r:id="rId6"/>
    <sheet name="EX11" sheetId="5" state="visible" r:id="rId7"/>
    <sheet name="EX12" sheetId="6" state="visible" r:id="rId8"/>
    <sheet name="EX7R" sheetId="7" state="visible" r:id="rId9"/>
    <sheet name="EX11R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51" authorId="0">
      <text>
        <r>
          <rPr>
            <sz val="10"/>
            <rFont val="Arial"/>
            <family val="2"/>
          </rPr>
          <t xml:space="preserve">Soma de 4 valores
</t>
        </r>
      </text>
    </comment>
    <comment ref="E55" authorId="0">
      <text>
        <r>
          <rPr>
            <sz val="10"/>
            <rFont val="Arial"/>
            <family val="2"/>
          </rPr>
          <t xml:space="preserve">← Soma dos recepientes com uma especie
^
|
Soma das especies com um recipiente</t>
        </r>
      </text>
    </comment>
    <comment ref="M16" authorId="0">
      <text>
        <r>
          <rPr>
            <sz val="10"/>
            <rFont val="Arial"/>
            <family val="2"/>
          </rPr>
          <t xml:space="preserve">H0: Todos os tratamentos apresentam mesma altura de muda
H1: Pelo menos um tratamento apresenta altura de muda diferente</t>
        </r>
      </text>
    </comment>
    <comment ref="M17" authorId="0">
      <text>
        <r>
          <rPr>
            <sz val="10"/>
            <rFont val="Arial"/>
            <family val="2"/>
          </rPr>
          <t xml:space="preserve">H0: Todos os Recipientes apresentam mesma altura de muda 
H1: Pelo menos um Recipiente apresenta altura de muda diferente</t>
        </r>
      </text>
    </comment>
    <comment ref="M18" authorId="0">
      <text>
        <r>
          <rPr>
            <sz val="10"/>
            <rFont val="Arial"/>
            <family val="2"/>
          </rPr>
          <t xml:space="preserve">H0: Todos os Espécies apresentam mesma altura de muda 
H1: Pelo menos um espécie apresenta altura de muda diferente</t>
        </r>
      </text>
    </comment>
    <comment ref="M19" authorId="0">
      <text>
        <r>
          <rPr>
            <sz val="10"/>
            <rFont val="Arial"/>
            <family val="2"/>
          </rPr>
          <t xml:space="preserve">H0: Efeito da interação RxE = 0 
H1: Efeito da interação RxE != 0</t>
        </r>
      </text>
    </comment>
    <comment ref="M26" authorId="0">
      <text>
        <r>
          <rPr>
            <sz val="10"/>
            <rFont val="Arial"/>
            <family val="2"/>
          </rPr>
          <t xml:space="preserve">Considerando apenas R1 
H0: Todos os Espécies apresentam mesma altura de muda 
H1: Pelo menos um espécie apresenta altura de muda diferente</t>
        </r>
      </text>
    </comment>
    <comment ref="M27" authorId="0">
      <text>
        <r>
          <rPr>
            <sz val="10"/>
            <rFont val="Arial"/>
            <family val="2"/>
          </rPr>
          <t xml:space="preserve">Considerando apenas R2
H0: Todos os Espécies apresentam mesma altura de muda 
H1: Pelo menos um espécie apresenta altura de muda diferente</t>
        </r>
      </text>
    </comment>
    <comment ref="M28" authorId="0">
      <text>
        <r>
          <rPr>
            <sz val="10"/>
            <rFont val="Arial"/>
            <family val="2"/>
          </rPr>
          <t xml:space="preserve">Considerando apenas R3
H0: Todos os Espécies apresentam mesma altura de muda 
H1: Pelo menos um espécie apresenta altura de muda diferente</t>
        </r>
      </text>
    </comment>
    <comment ref="U26" authorId="0">
      <text>
        <r>
          <rPr>
            <sz val="10"/>
            <rFont val="Arial"/>
            <family val="2"/>
          </rPr>
          <t xml:space="preserve">Considerando apenas E1 
H0: Todos os Recipientes apresentam mesma altura de muda 
H1: Pelo menos um recipiente apresenta altura de muda diferente</t>
        </r>
      </text>
    </comment>
    <comment ref="U27" authorId="0">
      <text>
        <r>
          <rPr>
            <sz val="10"/>
            <rFont val="Arial"/>
            <family val="2"/>
          </rPr>
          <t xml:space="preserve">Considerando apenas E2 
H0: Todos os Recipientes apresentam mesma altura de muda 
H1: Pelo menos um recipiente apresenta altura de muda diferente</t>
        </r>
      </text>
    </comment>
  </commentList>
</comments>
</file>

<file path=xl/sharedStrings.xml><?xml version="1.0" encoding="utf-8"?>
<sst xmlns="http://schemas.openxmlformats.org/spreadsheetml/2006/main" count="464" uniqueCount="140">
  <si>
    <r>
      <rPr>
        <sz val="12"/>
        <rFont val="Cambria"/>
        <family val="1"/>
      </rPr>
      <t xml:space="preserve">Vamos considerar os dados de um experimento inteiramente casualizado, com 4 repetições, no esquema fatorial 3 x 2, para testar os efeitos de três recipientes (R1, R2, R3) para produção de mudas e duas espécies de eucaliptos (E1, E2), quanto ao desenvolvimento das mudas. Os recipientes e as espécies testadas foram:
</t>
    </r>
    <r>
      <rPr>
        <sz val="11"/>
        <rFont val="Cambria"/>
        <family val="1"/>
      </rPr>
      <t xml:space="preserve">
</t>
    </r>
    <r>
      <rPr>
        <sz val="12"/>
        <rFont val="Cambria"/>
        <family val="1"/>
      </rPr>
      <t xml:space="preserve">R1: saco plástico pequeno.
R2: saco plástico grande.
R3: laminado.
E1: </t>
    </r>
    <r>
      <rPr>
        <i val="true"/>
        <sz val="12"/>
        <rFont val="Cambria"/>
        <family val="1"/>
      </rPr>
      <t xml:space="preserve">Eucalyptus citriodora.
</t>
    </r>
    <r>
      <rPr>
        <sz val="12"/>
        <rFont val="Cambria"/>
        <family val="1"/>
      </rPr>
      <t xml:space="preserve">E2: </t>
    </r>
    <r>
      <rPr>
        <i val="true"/>
        <sz val="12"/>
        <rFont val="Cambria"/>
        <family val="1"/>
      </rPr>
      <t xml:space="preserve">Eucalyptus grandis</t>
    </r>
    <r>
      <rPr>
        <sz val="12"/>
        <rFont val="Cambria"/>
        <family val="1"/>
      </rPr>
      <t xml:space="preserve">.
</t>
    </r>
    <r>
      <rPr>
        <sz val="11"/>
        <rFont val="Cambria"/>
        <family val="1"/>
      </rPr>
      <t xml:space="preserve">
</t>
    </r>
    <r>
      <rPr>
        <sz val="12"/>
        <rFont val="Cambria"/>
        <family val="1"/>
      </rPr>
      <t xml:space="preserve">Croqui da disposição dos recipientes com as mudas, em uma área considerada homogênea:</t>
    </r>
  </si>
  <si>
    <t xml:space="preserve">Fontes de Variação</t>
  </si>
  <si>
    <t xml:space="preserve">GL</t>
  </si>
  <si>
    <t xml:space="preserve">SQ</t>
  </si>
  <si>
    <t xml:space="preserve">QM</t>
  </si>
  <si>
    <t xml:space="preserve">Fcal</t>
  </si>
  <si>
    <t xml:space="preserve">P-valor</t>
  </si>
  <si>
    <t xml:space="preserve">(Tratamentos)</t>
  </si>
  <si>
    <t xml:space="preserve">rejeita H0</t>
  </si>
  <si>
    <t xml:space="preserve">Recipientes</t>
  </si>
  <si>
    <t xml:space="preserve">Espécie</t>
  </si>
  <si>
    <t xml:space="preserve">R1 E1</t>
  </si>
  <si>
    <t xml:space="preserve">R2 E1</t>
  </si>
  <si>
    <t xml:space="preserve">R3 E2</t>
  </si>
  <si>
    <t xml:space="preserve">R2 E2</t>
  </si>
  <si>
    <t xml:space="preserve">RxE</t>
  </si>
  <si>
    <t xml:space="preserve">R3 E1</t>
  </si>
  <si>
    <t xml:space="preserve">Resíduo</t>
  </si>
  <si>
    <t xml:space="preserve">R1 E2</t>
  </si>
  <si>
    <t xml:space="preserve">TOTAL</t>
  </si>
  <si>
    <t xml:space="preserve">Espécies dentro de cada Recipiente</t>
  </si>
  <si>
    <t xml:space="preserve">Recipientes dentro de cada Espécie</t>
  </si>
  <si>
    <t xml:space="preserve">Fonte de Variação</t>
  </si>
  <si>
    <t xml:space="preserve">R1_Ej</t>
  </si>
  <si>
    <t xml:space="preserve">aceita H0</t>
  </si>
  <si>
    <t xml:space="preserve">E1_Ri</t>
  </si>
  <si>
    <t xml:space="preserve">R2_Ej</t>
  </si>
  <si>
    <t xml:space="preserve">E2_Ri</t>
  </si>
  <si>
    <t xml:space="preserve">As alturas médias das mudas, em cm, aos 80 dias de idade estão apresentadas no quadro a seguir:</t>
  </si>
  <si>
    <t xml:space="preserve">R3_Ej</t>
  </si>
  <si>
    <t xml:space="preserve">C_E1</t>
  </si>
  <si>
    <t xml:space="preserve">C_R1</t>
  </si>
  <si>
    <t xml:space="preserve">C_E2</t>
  </si>
  <si>
    <t xml:space="preserve">C_R2</t>
  </si>
  <si>
    <t xml:space="preserve">Tratamentos</t>
  </si>
  <si>
    <t xml:space="preserve">Repetições</t>
  </si>
  <si>
    <t xml:space="preserve">C_R3</t>
  </si>
  <si>
    <t xml:space="preserve">Teste Tukey</t>
  </si>
  <si>
    <t xml:space="preserve">T</t>
  </si>
  <si>
    <t xml:space="preserve">R2=</t>
  </si>
  <si>
    <t xml:space="preserve">R1=</t>
  </si>
  <si>
    <t xml:space="preserve">R3=</t>
  </si>
  <si>
    <t xml:space="preserve">1 - R1E1</t>
  </si>
  <si>
    <t xml:space="preserve">Média R1</t>
  </si>
  <si>
    <t xml:space="preserve">Média E1</t>
  </si>
  <si>
    <t xml:space="preserve">2 - R1E2</t>
  </si>
  <si>
    <t xml:space="preserve">E1=</t>
  </si>
  <si>
    <t xml:space="preserve">a</t>
  </si>
  <si>
    <t xml:space="preserve">3 - R2E1</t>
  </si>
  <si>
    <t xml:space="preserve">E2=</t>
  </si>
  <si>
    <t xml:space="preserve">4 - R2E2</t>
  </si>
  <si>
    <t xml:space="preserve">b</t>
  </si>
  <si>
    <t xml:space="preserve">5 - R3E1</t>
  </si>
  <si>
    <t xml:space="preserve">Média R2</t>
  </si>
  <si>
    <t xml:space="preserve">DMS=</t>
  </si>
  <si>
    <t xml:space="preserve">6 - R3E2</t>
  </si>
  <si>
    <t xml:space="preserve">I=</t>
  </si>
  <si>
    <t xml:space="preserve">Média R3</t>
  </si>
  <si>
    <t xml:space="preserve">J=</t>
  </si>
  <si>
    <t xml:space="preserve">Média E2</t>
  </si>
  <si>
    <t xml:space="preserve">C=</t>
  </si>
  <si>
    <t xml:space="preserve">R=</t>
  </si>
  <si>
    <t xml:space="preserve">E=</t>
  </si>
  <si>
    <t xml:space="preserve">E1</t>
  </si>
  <si>
    <t xml:space="preserve">E2</t>
  </si>
  <si>
    <t xml:space="preserve">A</t>
  </si>
  <si>
    <t xml:space="preserve">R1</t>
  </si>
  <si>
    <t xml:space="preserve">R2</t>
  </si>
  <si>
    <t xml:space="preserve">R3</t>
  </si>
  <si>
    <t xml:space="preserve">B</t>
  </si>
  <si>
    <t xml:space="preserve">Na tabela seguinte estão as produções (kg/parcela) de matéria seca de forrageiras consorciadas com leguminosas. As gramíneas receberam as doses de calcário correspondentes a 0, 1, 2 e 4 t/ha. Apresente a análise de variâncias e interprete os resultados. Use alfa de 5%.</t>
  </si>
  <si>
    <t xml:space="preserve">Calcário</t>
  </si>
  <si>
    <t xml:space="preserve">Blocos</t>
  </si>
  <si>
    <t xml:space="preserve">Azevem</t>
  </si>
  <si>
    <t xml:space="preserve">Falaris</t>
  </si>
  <si>
    <t xml:space="preserve">Festuca</t>
  </si>
  <si>
    <t xml:space="preserve">I</t>
  </si>
  <si>
    <t xml:space="preserve">II</t>
  </si>
  <si>
    <t xml:space="preserve">III</t>
  </si>
  <si>
    <t xml:space="preserve">Num experimento em DIC planejado para avaliar três detergentes, um laboratório lavou roupa três vezes em cada combinação de detergente e temperatura de água, obtendo porcentagens de roupas bem lavadas, dadas a seguir:</t>
  </si>
  <si>
    <t xml:space="preserve"> </t>
  </si>
  <si>
    <t xml:space="preserve">Detergente A</t>
  </si>
  <si>
    <t xml:space="preserve">Detergente B</t>
  </si>
  <si>
    <t xml:space="preserve">Detergente C</t>
  </si>
  <si>
    <t xml:space="preserve">Água Fria</t>
  </si>
  <si>
    <t xml:space="preserve">Água Morna</t>
  </si>
  <si>
    <t xml:space="preserve">Água Quente</t>
  </si>
  <si>
    <r>
      <rPr>
        <sz val="11"/>
        <rFont val="Cambria"/>
        <family val="1"/>
      </rPr>
      <t xml:space="preserve">Um experimento fatorial de 5 x 4, em blocos casualizados, com 10 repetições, sobre a influência do aparelho e do operador na medição de altura de árvores, aos 7 anos de idade, de </t>
    </r>
    <r>
      <rPr>
        <i val="true"/>
        <sz val="11"/>
        <rFont val="Cambria"/>
        <family val="1"/>
      </rPr>
      <t xml:space="preserve">Eucaliptus saligna</t>
    </r>
    <r>
      <rPr>
        <sz val="11"/>
        <rFont val="Cambria"/>
        <family val="1"/>
      </rPr>
      <t xml:space="preserve">. Os cinco aparelhos: 1- Hipsômetro de Blume-Leiss; 2- Hipsômetro de Haga; 3- Hipsômetro de Weise; 4- Prancheta dendrométrica; 5- Trena; foram combinados com os quatro operadores (ou observadores) resultando em 20 combinações ou tratamentos, numerados de 1 a 20. Diante de uma árvore era sorteado um nº, por exemplo, o 2. Este indicava a combinação Ap. 2 (Hipsômetro de Haga) com o operador 1. Este operador com o Hipsôm. De Haga efetuava duas medidas consecutivas daquela árvore e a média era anotada no quadro de valores. O sorteio continuava até que os 20 tratamentos fossem realizados naquela árvore, ficando, evidentemente, a trena para o final (que era a testemunha). Como vemos cada árvore se constitui num bloco. Os resultados médios dessas medições são apresentados na tabela a seguir e são referentes a altura total (m) de árvores de E. saligna, com 7 anos. O objetivo do ensaio era estudar a influência dos tipos de aparelhos e de operadores na medição das árvores. 
</t>
    </r>
    <r>
      <rPr>
        <b val="true"/>
        <sz val="11"/>
        <rFont val="Cambria"/>
        <family val="1"/>
      </rPr>
      <t xml:space="preserve">Obs.:</t>
    </r>
    <r>
      <rPr>
        <sz val="11"/>
        <rFont val="Cambria"/>
        <family val="1"/>
      </rPr>
      <t xml:space="preserve"> O interesse maior não é tanto em relação aos tratamentos, mas relativamente aos fatores.</t>
    </r>
  </si>
  <si>
    <t xml:space="preserve">  Tratamentos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</si>
  <si>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</si>
  <si>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</si>
  <si>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</si>
  <si>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</si>
  <si>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</si>
  <si>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</si>
  <si>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</si>
  <si>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Ap1_Ob1</t>
  </si>
  <si>
    <t xml:space="preserve">Ap2_Ob1</t>
  </si>
  <si>
    <t xml:space="preserve">Ap3_Ob1</t>
  </si>
  <si>
    <t xml:space="preserve">Ap4_Ob1</t>
  </si>
  <si>
    <t xml:space="preserve">Ap5_Ob1</t>
  </si>
  <si>
    <t xml:space="preserve">Ap1_Ob2</t>
  </si>
  <si>
    <t xml:space="preserve">Ap2_Ob2</t>
  </si>
  <si>
    <t xml:space="preserve">Ap3_Ob2</t>
  </si>
  <si>
    <t xml:space="preserve">Ap4_Ob2</t>
  </si>
  <si>
    <t xml:space="preserve">Ap5_Ob2</t>
  </si>
  <si>
    <t xml:space="preserve">Ap1_Ob3</t>
  </si>
  <si>
    <t xml:space="preserve">Ap2_Ob3</t>
  </si>
  <si>
    <t xml:space="preserve">Ap3_Ob3</t>
  </si>
  <si>
    <t xml:space="preserve">Ap4_Ob3</t>
  </si>
  <si>
    <t xml:space="preserve">Ap5_Ob3</t>
  </si>
  <si>
    <t xml:space="preserve">Ap1_Ob4</t>
  </si>
  <si>
    <t xml:space="preserve">Ap2_Ob4</t>
  </si>
  <si>
    <t xml:space="preserve">Ap3_Ob4</t>
  </si>
  <si>
    <t xml:space="preserve">Ap4_Ob4</t>
  </si>
  <si>
    <t xml:space="preserve">Ap5_Ob4</t>
  </si>
  <si>
    <t xml:space="preserve">Vamos considerar os dados de um experimento para a cultura de cafeeiro, no delineamento em blocos casualizados com 6 repetições, no esquema fatorial 2 x 2 x 2, com os fatores: Nitrogênio (N), Fósforo (P) e Potássio (K), cada um deles nos níveis 0 (ausência) e 1 (presença). A produção de café coco (kg/há), para os tratamentos, está apresentada no quadro a seguir.</t>
  </si>
  <si>
    <t xml:space="preserve">TRATAMENTOS</t>
  </si>
  <si>
    <t xml:space="preserve">BLOCOS</t>
  </si>
  <si>
    <t xml:space="preserve">N0</t>
  </si>
  <si>
    <t xml:space="preserve">P0</t>
  </si>
  <si>
    <t xml:space="preserve">K0</t>
  </si>
  <si>
    <t xml:space="preserve">K1</t>
  </si>
  <si>
    <t xml:space="preserve">P1</t>
  </si>
  <si>
    <t xml:space="preserve">N1</t>
  </si>
  <si>
    <t xml:space="preserve">Consideremos os dados de um experimento inteiramente casualizado no esquema fatorial 3 x 2 x 2, com os fatores Cultivares de trigo (C1: BR 20 – Guató, tolerante ao alumínio; C2: BR 36 – Ianomami, sensível ao alumínio; e C3: BR 40 – Tuiúca, moderadamente sensível ao alumínio), Calagem (Ca0: 0 t/há de calcário; e Ca1: 4,4 t/há de calcário) e Fosfatagem (P0: 0 mg de P/kg de solo; e P1: 87 mg P/kg de solo), no qual foi estudada a eficiência da cultura do trigo na utilização de fósforo, obtida pelo quociente de teor de matéria seca da parte aérea pela quantidade de fósforo absorvida, obtendo-se os dados do quadro a seguir.</t>
  </si>
  <si>
    <t xml:space="preserve">REPETIÇÕES</t>
  </si>
  <si>
    <t xml:space="preserve">C1</t>
  </si>
  <si>
    <t xml:space="preserve">Ca0</t>
  </si>
  <si>
    <t xml:space="preserve">Ca1</t>
  </si>
  <si>
    <t xml:space="preserve">C2</t>
  </si>
  <si>
    <t xml:space="preserve">C3</t>
  </si>
  <si>
    <t xml:space="preserve">recipiente</t>
  </si>
  <si>
    <t xml:space="preserve">especie</t>
  </si>
  <si>
    <t xml:space="preserve">altura</t>
  </si>
  <si>
    <t xml:space="preserve">nitrogenio</t>
  </si>
  <si>
    <t xml:space="preserve">fosforo</t>
  </si>
  <si>
    <t xml:space="preserve">potassio</t>
  </si>
  <si>
    <t xml:space="preserve">bloco</t>
  </si>
  <si>
    <t xml:space="preserve">producao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</si>
</sst>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"/>
    <numFmt numFmtId="167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1"/>
    </font>
    <font>
      <sz val="12"/>
      <name val="Cambria"/>
      <family val="1"/>
    </font>
    <font>
      <i val="true"/>
      <sz val="12"/>
      <name val="Cambria"/>
      <family val="1"/>
    </font>
    <font>
      <b val="true"/>
      <sz val="11"/>
      <name val="Cambria"/>
      <family val="1"/>
    </font>
    <font>
      <sz val="11"/>
      <color rgb="FFC9211E"/>
      <name val="Cambria"/>
      <family val="1"/>
    </font>
    <font>
      <sz val="10"/>
      <color rgb="FFC9211E"/>
      <name val="Arial"/>
      <family val="2"/>
    </font>
    <font>
      <sz val="11"/>
      <name val="Arial"/>
      <family val="2"/>
    </font>
    <font>
      <i val="true"/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84D2F1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D7"/>
        <bgColor rgb="FFFFF5CE"/>
      </patternFill>
    </fill>
    <fill>
      <patternFill patternType="solid">
        <fgColor rgb="FFFFBF00"/>
        <bgColor rgb="FFFF9900"/>
      </patternFill>
    </fill>
    <fill>
      <patternFill patternType="solid">
        <fgColor rgb="FFFFF5CE"/>
        <bgColor rgb="FFFFFF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D2F1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35640</xdr:colOff>
      <xdr:row>0</xdr:row>
      <xdr:rowOff>69840</xdr:rowOff>
    </xdr:from>
    <xdr:to>
      <xdr:col>15</xdr:col>
      <xdr:colOff>746280</xdr:colOff>
      <xdr:row>12</xdr:row>
      <xdr:rowOff>90720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5924160" y="69840"/>
          <a:ext cx="6525000" cy="2124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W68"/>
  <sheetViews>
    <sheetView showFormulas="false" showGridLines="true" showRowColHeaders="true" showZeros="true" rightToLeft="false" tabSelected="false" showOutlineSymbols="true" defaultGridColor="true" view="normal" topLeftCell="G13" colorId="64" zoomScale="140" zoomScaleNormal="140" zoomScalePageLayoutView="100" workbookViewId="0">
      <selection pane="topLeft" activeCell="V45" activeCellId="0" sqref="V45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7" min="1" style="1" width="11.53"/>
    <col collapsed="false" customWidth="true" hidden="false" outlineLevel="0" max="8" min="8" style="1" width="2.82"/>
    <col collapsed="false" customWidth="true" hidden="false" outlineLevel="0" max="9" min="9" style="1" width="18.09"/>
    <col collapsed="false" customWidth="true" hidden="false" outlineLevel="0" max="10" min="10" style="1" width="12.15"/>
    <col collapsed="false" customWidth="true" hidden="false" outlineLevel="0" max="11" min="11" style="1" width="11.01"/>
    <col collapsed="false" customWidth="true" hidden="false" outlineLevel="0" max="13" min="12" style="1" width="9.86"/>
    <col collapsed="false" customWidth="true" hidden="false" outlineLevel="0" max="14" min="14" style="1" width="9.99"/>
    <col collapsed="false" customWidth="false" hidden="false" outlineLevel="0" max="16" min="15" style="1" width="11.53"/>
    <col collapsed="false" customWidth="true" hidden="false" outlineLevel="0" max="17" min="17" style="1" width="17.21"/>
    <col collapsed="false" customWidth="false" hidden="false" outlineLevel="0" max="985" min="18" style="1" width="11.53"/>
    <col collapsed="false" customWidth="false" hidden="false" outlineLevel="0" max="16384" min="1025" style="1" width="11.53"/>
  </cols>
  <sheetData>
    <row r="1" customFormat="false" ht="13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</row>
    <row r="7" customFormat="false" ht="13.8" hidden="false" customHeight="false" outlineLevel="0" collapsed="false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</row>
    <row r="8" customFormat="false" ht="13.8" hidden="false" customHeight="false" outlineLevel="0" collapsed="false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</row>
    <row r="9" customFormat="false" ht="13.8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3.8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3.8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3.8" hidden="false" customHeight="false" outlineLevel="0" collapsed="false">
      <c r="A15" s="2"/>
      <c r="B15" s="2"/>
      <c r="C15" s="2"/>
      <c r="D15" s="2"/>
      <c r="E15" s="2"/>
      <c r="F15" s="2"/>
      <c r="G15" s="2"/>
      <c r="I15" s="4" t="s">
        <v>1</v>
      </c>
      <c r="J15" s="4" t="s">
        <v>2</v>
      </c>
      <c r="K15" s="4" t="s">
        <v>3</v>
      </c>
      <c r="L15" s="4" t="s">
        <v>4</v>
      </c>
      <c r="M15" s="4" t="s">
        <v>5</v>
      </c>
      <c r="N15" s="4" t="s">
        <v>6</v>
      </c>
    </row>
    <row r="16" customFormat="false" ht="13.8" hidden="false" customHeight="false" outlineLevel="0" collapsed="false">
      <c r="A16" s="2"/>
      <c r="B16" s="2"/>
      <c r="C16" s="2"/>
      <c r="D16" s="2"/>
      <c r="E16" s="2"/>
      <c r="F16" s="2"/>
      <c r="G16" s="2"/>
      <c r="I16" s="5" t="s">
        <v>7</v>
      </c>
      <c r="J16" s="6" t="n">
        <f aca="false">B42-1</f>
        <v>5</v>
      </c>
      <c r="K16" s="7" t="n">
        <f aca="false">SUMSQ(G34:G39)/B43-B44</f>
        <v>175.703333333331</v>
      </c>
      <c r="L16" s="7" t="n">
        <f aca="false">K16/J16</f>
        <v>35.1406666666662</v>
      </c>
      <c r="M16" s="7" t="n">
        <f aca="false">L16/$L$20</f>
        <v>27.3941966219137</v>
      </c>
      <c r="N16" s="6" t="n">
        <f aca="false">FDIST(M16,J16,$J$20)</f>
        <v>8.04304495714505E-008</v>
      </c>
      <c r="O16" s="1" t="s">
        <v>8</v>
      </c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  <c r="I17" s="4" t="s">
        <v>9</v>
      </c>
      <c r="J17" s="6" t="n">
        <f aca="false">B45-1</f>
        <v>2</v>
      </c>
      <c r="K17" s="7" t="n">
        <f aca="false">SUMSQ(E52:E54)/(B43*2)-B44</f>
        <v>92.8608333333305</v>
      </c>
      <c r="L17" s="7" t="n">
        <f aca="false">K17/J17</f>
        <v>46.4304166666652</v>
      </c>
      <c r="M17" s="7" t="n">
        <f aca="false">L17/$L$20</f>
        <v>36.1952143785175</v>
      </c>
      <c r="N17" s="6" t="n">
        <f aca="false">FDIST(M17,J17,$J$20)</f>
        <v>4.92436831321513E-007</v>
      </c>
      <c r="O17" s="1" t="s">
        <v>8</v>
      </c>
    </row>
    <row r="18" customFormat="false" ht="13.8" hidden="false" customHeight="false" outlineLevel="0" collapsed="false">
      <c r="A18" s="8"/>
      <c r="B18" s="8"/>
      <c r="C18" s="8"/>
      <c r="D18" s="8"/>
      <c r="E18" s="8"/>
      <c r="F18" s="8"/>
      <c r="G18" s="8"/>
      <c r="I18" s="4" t="s">
        <v>10</v>
      </c>
      <c r="J18" s="6" t="n">
        <f aca="false">B46-1</f>
        <v>1</v>
      </c>
      <c r="K18" s="7" t="n">
        <f aca="false">SUMSQ(C55:D55)/(B43*3)-B44</f>
        <v>19.0816666666651</v>
      </c>
      <c r="L18" s="7" t="n">
        <f aca="false">K18/J18</f>
        <v>19.0816666666651</v>
      </c>
      <c r="M18" s="7" t="n">
        <f aca="false">L18/$L$20</f>
        <v>14.8752706799467</v>
      </c>
      <c r="N18" s="6" t="n">
        <f aca="false">FDIST(M18,J18,$J$20)</f>
        <v>0.00115534762113928</v>
      </c>
      <c r="O18" s="1" t="s">
        <v>8</v>
      </c>
    </row>
    <row r="19" customFormat="false" ht="13.8" hidden="false" customHeight="false" outlineLevel="0" collapsed="false">
      <c r="A19" s="8"/>
      <c r="B19" s="9" t="s">
        <v>11</v>
      </c>
      <c r="C19" s="9" t="s">
        <v>12</v>
      </c>
      <c r="D19" s="9" t="s">
        <v>13</v>
      </c>
      <c r="E19" s="9" t="s">
        <v>14</v>
      </c>
      <c r="F19" s="8"/>
      <c r="G19" s="8"/>
      <c r="I19" s="4" t="s">
        <v>15</v>
      </c>
      <c r="J19" s="6" t="n">
        <f aca="false">J17*J18</f>
        <v>2</v>
      </c>
      <c r="K19" s="7" t="n">
        <f aca="false">K16-K17-K18</f>
        <v>63.7608333333355</v>
      </c>
      <c r="L19" s="7" t="n">
        <f aca="false">K19/J19</f>
        <v>31.8804166666678</v>
      </c>
      <c r="M19" s="7" t="n">
        <f aca="false">L19/$L$20</f>
        <v>24.8526418362935</v>
      </c>
      <c r="N19" s="6" t="n">
        <f aca="false">FDIST(M19,J19,$J$20)</f>
        <v>6.63513078325627E-006</v>
      </c>
      <c r="O19" s="1" t="s">
        <v>8</v>
      </c>
    </row>
    <row r="20" customFormat="false" ht="13.8" hidden="false" customHeight="false" outlineLevel="0" collapsed="false">
      <c r="A20" s="8"/>
      <c r="B20" s="9" t="s">
        <v>16</v>
      </c>
      <c r="C20" s="9" t="s">
        <v>14</v>
      </c>
      <c r="D20" s="9" t="s">
        <v>11</v>
      </c>
      <c r="E20" s="9" t="s">
        <v>16</v>
      </c>
      <c r="F20" s="8"/>
      <c r="G20" s="8"/>
      <c r="I20" s="5" t="s">
        <v>17</v>
      </c>
      <c r="J20" s="6" t="n">
        <f aca="false">J21-J16</f>
        <v>18</v>
      </c>
      <c r="K20" s="7" t="n">
        <f aca="false">K21-K16</f>
        <v>23.0900000000001</v>
      </c>
      <c r="L20" s="7" t="n">
        <f aca="false">K20/J20</f>
        <v>1.28277777777779</v>
      </c>
      <c r="M20" s="6"/>
      <c r="N20" s="6"/>
    </row>
    <row r="21" customFormat="false" ht="13.8" hidden="false" customHeight="false" outlineLevel="0" collapsed="false">
      <c r="A21" s="8"/>
      <c r="B21" s="9" t="s">
        <v>12</v>
      </c>
      <c r="C21" s="9" t="s">
        <v>11</v>
      </c>
      <c r="D21" s="9" t="s">
        <v>14</v>
      </c>
      <c r="E21" s="9" t="s">
        <v>18</v>
      </c>
      <c r="F21" s="8"/>
      <c r="G21" s="8"/>
      <c r="I21" s="5" t="s">
        <v>19</v>
      </c>
      <c r="J21" s="4" t="n">
        <f aca="false">COUNT(C34:F39)-1</f>
        <v>23</v>
      </c>
      <c r="K21" s="10" t="n">
        <f aca="false">SUMSQ(C34:F39)-B44</f>
        <v>198.793333333331</v>
      </c>
      <c r="L21" s="10"/>
      <c r="M21" s="4"/>
      <c r="N21" s="4"/>
    </row>
    <row r="22" customFormat="false" ht="13.8" hidden="false" customHeight="false" outlineLevel="0" collapsed="false">
      <c r="A22" s="8"/>
      <c r="B22" s="9" t="s">
        <v>18</v>
      </c>
      <c r="C22" s="9" t="s">
        <v>14</v>
      </c>
      <c r="D22" s="9" t="s">
        <v>18</v>
      </c>
      <c r="E22" s="9" t="s">
        <v>16</v>
      </c>
      <c r="F22" s="8"/>
      <c r="G22" s="8"/>
    </row>
    <row r="23" customFormat="false" ht="13.8" hidden="false" customHeight="false" outlineLevel="0" collapsed="false">
      <c r="A23" s="8"/>
      <c r="B23" s="9" t="s">
        <v>13</v>
      </c>
      <c r="C23" s="9" t="s">
        <v>12</v>
      </c>
      <c r="D23" s="9" t="s">
        <v>13</v>
      </c>
      <c r="E23" s="9" t="s">
        <v>13</v>
      </c>
      <c r="F23" s="8"/>
      <c r="G23" s="8"/>
    </row>
    <row r="24" customFormat="false" ht="13.8" hidden="false" customHeight="false" outlineLevel="0" collapsed="false">
      <c r="A24" s="8"/>
      <c r="B24" s="9" t="s">
        <v>16</v>
      </c>
      <c r="C24" s="9" t="s">
        <v>18</v>
      </c>
      <c r="D24" s="9" t="s">
        <v>11</v>
      </c>
      <c r="E24" s="9" t="s">
        <v>12</v>
      </c>
      <c r="F24" s="8"/>
      <c r="G24" s="8"/>
      <c r="I24" s="11" t="s">
        <v>20</v>
      </c>
      <c r="J24" s="11"/>
      <c r="K24" s="11"/>
      <c r="L24" s="11"/>
      <c r="M24" s="11"/>
      <c r="N24" s="11"/>
      <c r="Q24" s="11" t="s">
        <v>21</v>
      </c>
      <c r="R24" s="11"/>
      <c r="S24" s="11"/>
      <c r="T24" s="11"/>
      <c r="U24" s="11"/>
      <c r="V24" s="11"/>
    </row>
    <row r="25" customFormat="false" ht="13.8" hidden="false" customHeight="false" outlineLevel="0" collapsed="false">
      <c r="A25" s="8"/>
      <c r="B25" s="8"/>
      <c r="C25" s="8"/>
      <c r="D25" s="8"/>
      <c r="E25" s="8"/>
      <c r="F25" s="8"/>
      <c r="G25" s="8"/>
      <c r="I25" s="4" t="s">
        <v>22</v>
      </c>
      <c r="J25" s="4" t="s">
        <v>2</v>
      </c>
      <c r="K25" s="4" t="s">
        <v>3</v>
      </c>
      <c r="L25" s="4" t="s">
        <v>4</v>
      </c>
      <c r="M25" s="4" t="s">
        <v>5</v>
      </c>
      <c r="N25" s="4" t="s">
        <v>6</v>
      </c>
      <c r="Q25" s="4" t="s">
        <v>22</v>
      </c>
      <c r="R25" s="4" t="s">
        <v>2</v>
      </c>
      <c r="S25" s="4" t="s">
        <v>3</v>
      </c>
      <c r="T25" s="4" t="s">
        <v>4</v>
      </c>
      <c r="U25" s="4" t="s">
        <v>5</v>
      </c>
      <c r="V25" s="4" t="s">
        <v>6</v>
      </c>
    </row>
    <row r="26" customFormat="false" ht="13.8" hidden="false" customHeight="false" outlineLevel="0" collapsed="false">
      <c r="A26" s="8"/>
      <c r="B26" s="8"/>
      <c r="C26" s="8"/>
      <c r="D26" s="8"/>
      <c r="E26" s="12"/>
      <c r="F26" s="8"/>
      <c r="G26" s="8"/>
      <c r="I26" s="4" t="s">
        <v>23</v>
      </c>
      <c r="J26" s="6" t="n">
        <f aca="false">COUNT(C52:D52)-1</f>
        <v>1</v>
      </c>
      <c r="K26" s="6" t="n">
        <f aca="false">SUMSQ(C52:D52)/($B$43)-J30</f>
        <v>0.211250000000291</v>
      </c>
      <c r="L26" s="6" t="n">
        <f aca="false">K26/J26</f>
        <v>0.211250000000291</v>
      </c>
      <c r="M26" s="6" t="n">
        <f aca="false">L26/$T$28</f>
        <v>0.164681680381343</v>
      </c>
      <c r="N26" s="6" t="n">
        <f aca="false">FDIST(M26,J26,$R$28)</f>
        <v>0.689665605865487</v>
      </c>
      <c r="O26" s="1" t="s">
        <v>24</v>
      </c>
      <c r="Q26" s="4" t="s">
        <v>25</v>
      </c>
      <c r="R26" s="6" t="n">
        <f aca="false">COUNT(C52:C54)-1</f>
        <v>2</v>
      </c>
      <c r="S26" s="7" t="n">
        <f aca="false">SUMSQ(C52:C54)/($B$43)-R29</f>
        <v>87.121666666666</v>
      </c>
      <c r="T26" s="7" t="n">
        <f aca="false">S26/R26</f>
        <v>43.560833333333</v>
      </c>
      <c r="U26" s="7" t="n">
        <f aca="false">T26/$T$28</f>
        <v>33.9582070160238</v>
      </c>
      <c r="V26" s="6" t="n">
        <f aca="false">FDIST(U26,R26,$R$28)</f>
        <v>7.77619720959117E-007</v>
      </c>
      <c r="W26" s="1" t="s">
        <v>8</v>
      </c>
    </row>
    <row r="27" customFormat="false" ht="13.8" hidden="false" customHeight="false" outlineLevel="0" collapsed="false">
      <c r="A27" s="8"/>
      <c r="B27" s="8"/>
      <c r="C27" s="8"/>
      <c r="D27" s="8"/>
      <c r="E27" s="8"/>
      <c r="F27" s="8"/>
      <c r="G27" s="8"/>
      <c r="I27" s="4" t="s">
        <v>26</v>
      </c>
      <c r="J27" s="6" t="n">
        <f aca="false">COUNT(C53:D53)-1</f>
        <v>1</v>
      </c>
      <c r="K27" s="6" t="n">
        <f aca="false">SUMSQ(C53:D53)/($B$43)-J31</f>
        <v>79.3800000000001</v>
      </c>
      <c r="L27" s="6" t="n">
        <f aca="false">K27/J27</f>
        <v>79.3800000000001</v>
      </c>
      <c r="M27" s="6" t="n">
        <f aca="false">L27/$T$28</f>
        <v>61.8813339107836</v>
      </c>
      <c r="N27" s="6" t="n">
        <f aca="false">FDIST(M27,J27,$R$28)</f>
        <v>3.11200113627077E-007</v>
      </c>
      <c r="O27" s="1" t="s">
        <v>8</v>
      </c>
      <c r="Q27" s="4" t="s">
        <v>27</v>
      </c>
      <c r="R27" s="6" t="n">
        <f aca="false">COUNT(D52:D54)-1</f>
        <v>2</v>
      </c>
      <c r="S27" s="13" t="n">
        <f aca="false">SUMSQ(D52:D54)/($B$43)-R30</f>
        <v>69.4999999999973</v>
      </c>
      <c r="T27" s="14" t="n">
        <f aca="false">S27/R27</f>
        <v>34.7499999999986</v>
      </c>
      <c r="U27" s="7" t="n">
        <f aca="false">T27/$T$28</f>
        <v>27.0896491987861</v>
      </c>
      <c r="V27" s="6" t="n">
        <f aca="false">FDIST(U27,R27,$R$28)</f>
        <v>3.73025601534714E-006</v>
      </c>
      <c r="W27" s="1" t="s">
        <v>8</v>
      </c>
    </row>
    <row r="28" customFormat="false" ht="13.8" hidden="false" customHeight="true" outlineLevel="0" collapsed="false">
      <c r="A28" s="15" t="s">
        <v>28</v>
      </c>
      <c r="B28" s="15"/>
      <c r="C28" s="15"/>
      <c r="D28" s="15"/>
      <c r="E28" s="15"/>
      <c r="F28" s="15"/>
      <c r="G28" s="15"/>
      <c r="I28" s="4" t="s">
        <v>29</v>
      </c>
      <c r="J28" s="6" t="n">
        <f aca="false">COUNT(C54:D54)-1</f>
        <v>1</v>
      </c>
      <c r="K28" s="6" t="n">
        <f aca="false">SUMSQ(C54:D54)/($B$43)-J32</f>
        <v>3.25125000000025</v>
      </c>
      <c r="L28" s="6" t="n">
        <f aca="false">K28/J28</f>
        <v>3.25125000000025</v>
      </c>
      <c r="M28" s="6" t="n">
        <f aca="false">L28/$T$28</f>
        <v>2.53453876136874</v>
      </c>
      <c r="N28" s="6" t="n">
        <f aca="false">FDIST(M28,J28,$R$28)</f>
        <v>0.128788253033954</v>
      </c>
      <c r="O28" s="1" t="s">
        <v>24</v>
      </c>
      <c r="Q28" s="4" t="s">
        <v>17</v>
      </c>
      <c r="R28" s="6" t="n">
        <f aca="false">J21-J16</f>
        <v>18</v>
      </c>
      <c r="S28" s="14" t="n">
        <f aca="false">K21-K16</f>
        <v>23.0900000000001</v>
      </c>
      <c r="T28" s="7" t="n">
        <f aca="false">S28/R28</f>
        <v>1.28277777777779</v>
      </c>
      <c r="U28" s="7"/>
      <c r="V28" s="6"/>
    </row>
    <row r="29" customFormat="false" ht="13.8" hidden="false" customHeight="false" outlineLevel="0" collapsed="false">
      <c r="A29" s="15"/>
      <c r="B29" s="15"/>
      <c r="C29" s="15"/>
      <c r="D29" s="15"/>
      <c r="E29" s="15"/>
      <c r="F29" s="15"/>
      <c r="G29" s="15"/>
      <c r="I29" s="4" t="s">
        <v>17</v>
      </c>
      <c r="J29" s="6" t="n">
        <f aca="false">J21-J16</f>
        <v>18</v>
      </c>
      <c r="K29" s="6" t="n">
        <f aca="false">K21-K16</f>
        <v>23.0900000000001</v>
      </c>
      <c r="L29" s="6" t="n">
        <f aca="false">K29/J29</f>
        <v>1.28277777777779</v>
      </c>
      <c r="M29" s="6"/>
      <c r="N29" s="6"/>
      <c r="Q29" s="4" t="s">
        <v>30</v>
      </c>
      <c r="R29" s="6" t="n">
        <f aca="false">SUM(C52:C54)^2/($B$43*3)</f>
        <v>6830.64083333333</v>
      </c>
      <c r="S29" s="4"/>
      <c r="T29" s="4"/>
      <c r="U29" s="4"/>
      <c r="V29" s="4"/>
    </row>
    <row r="30" customFormat="false" ht="13.8" hidden="false" customHeight="false" outlineLevel="0" collapsed="false">
      <c r="A30" s="15"/>
      <c r="B30" s="15"/>
      <c r="C30" s="15"/>
      <c r="D30" s="15"/>
      <c r="E30" s="15"/>
      <c r="F30" s="15"/>
      <c r="G30" s="15"/>
      <c r="I30" s="4" t="s">
        <v>31</v>
      </c>
      <c r="J30" s="6" t="n">
        <f aca="false">SUM(C52:D52)^2/($B$43*2)</f>
        <v>5196.90125</v>
      </c>
      <c r="K30" s="4"/>
      <c r="L30" s="4"/>
      <c r="M30" s="4"/>
      <c r="N30" s="4"/>
      <c r="Q30" s="4" t="s">
        <v>32</v>
      </c>
      <c r="R30" s="6" t="n">
        <f aca="false">SUM(D52:D54)^2/($B$43*3)</f>
        <v>5847.6675</v>
      </c>
      <c r="S30" s="4"/>
      <c r="T30" s="4"/>
      <c r="U30" s="4"/>
      <c r="V30" s="4"/>
    </row>
    <row r="31" customFormat="false" ht="13.8" hidden="false" customHeight="false" outlineLevel="0" collapsed="false">
      <c r="A31" s="8"/>
      <c r="B31" s="8"/>
      <c r="C31" s="8"/>
      <c r="D31" s="8"/>
      <c r="E31" s="8"/>
      <c r="F31" s="8"/>
      <c r="G31" s="8"/>
      <c r="I31" s="4" t="s">
        <v>33</v>
      </c>
      <c r="J31" s="6" t="n">
        <f aca="false">SUM(C53:D53)^2/($B$43*2)</f>
        <v>4131.405</v>
      </c>
      <c r="K31" s="4"/>
      <c r="L31" s="4"/>
      <c r="M31" s="4"/>
      <c r="N31" s="4"/>
      <c r="Q31" s="0"/>
      <c r="R31" s="0"/>
      <c r="S31" s="0"/>
      <c r="T31" s="0"/>
      <c r="U31" s="0"/>
      <c r="V31" s="0"/>
    </row>
    <row r="32" customFormat="false" ht="13.8" hidden="false" customHeight="false" outlineLevel="0" collapsed="false">
      <c r="A32" s="8"/>
      <c r="B32" s="9" t="s">
        <v>34</v>
      </c>
      <c r="C32" s="16" t="s">
        <v>35</v>
      </c>
      <c r="D32" s="16"/>
      <c r="E32" s="16"/>
      <c r="F32" s="16"/>
      <c r="G32" s="8"/>
      <c r="I32" s="4" t="s">
        <v>36</v>
      </c>
      <c r="J32" s="6" t="n">
        <f aca="false">SUM(C54:D54)^2/($B$43*2)</f>
        <v>3423.78125</v>
      </c>
      <c r="K32" s="4"/>
      <c r="L32" s="4"/>
      <c r="M32" s="4"/>
      <c r="N32" s="4"/>
      <c r="Q32" s="0"/>
      <c r="R32" s="0"/>
      <c r="S32" s="0"/>
      <c r="T32" s="17" t="s">
        <v>37</v>
      </c>
      <c r="U32" s="17"/>
      <c r="V32" s="17"/>
      <c r="W32" s="17"/>
      <c r="X32" s="17"/>
    </row>
    <row r="33" customFormat="false" ht="13.8" hidden="false" customHeight="false" outlineLevel="0" collapsed="false">
      <c r="A33" s="8"/>
      <c r="B33" s="9"/>
      <c r="C33" s="9" t="n">
        <v>1</v>
      </c>
      <c r="D33" s="9" t="n">
        <v>2</v>
      </c>
      <c r="E33" s="9" t="n">
        <v>3</v>
      </c>
      <c r="F33" s="9" t="n">
        <v>4</v>
      </c>
      <c r="G33" s="18" t="s">
        <v>38</v>
      </c>
      <c r="T33" s="19"/>
      <c r="U33" s="20"/>
      <c r="V33" s="4" t="s">
        <v>39</v>
      </c>
      <c r="W33" s="4" t="s">
        <v>40</v>
      </c>
      <c r="X33" s="4" t="s">
        <v>41</v>
      </c>
    </row>
    <row r="34" customFormat="false" ht="13.8" hidden="false" customHeight="false" outlineLevel="0" collapsed="false">
      <c r="A34" s="8"/>
      <c r="B34" s="9" t="s">
        <v>42</v>
      </c>
      <c r="C34" s="21" t="n">
        <v>26.2</v>
      </c>
      <c r="D34" s="21" t="n">
        <v>26</v>
      </c>
      <c r="E34" s="21" t="n">
        <v>25</v>
      </c>
      <c r="F34" s="21" t="n">
        <v>25.4</v>
      </c>
      <c r="G34" s="18" t="n">
        <f aca="false">SUM(C34:F34)</f>
        <v>102.6</v>
      </c>
      <c r="I34" s="22" t="s">
        <v>43</v>
      </c>
      <c r="J34" s="22"/>
      <c r="Q34" s="22" t="s">
        <v>44</v>
      </c>
      <c r="R34" s="22"/>
      <c r="T34" s="20"/>
      <c r="U34" s="20"/>
      <c r="V34" s="23" t="n">
        <v>25.875</v>
      </c>
      <c r="W34" s="23" t="n">
        <v>25.65</v>
      </c>
      <c r="X34" s="23" t="n">
        <v>20.05</v>
      </c>
    </row>
    <row r="35" customFormat="false" ht="13.8" hidden="false" customHeight="false" outlineLevel="0" collapsed="false">
      <c r="A35" s="8"/>
      <c r="B35" s="9" t="s">
        <v>45</v>
      </c>
      <c r="C35" s="21" t="n">
        <v>24.8</v>
      </c>
      <c r="D35" s="21" t="n">
        <v>24.6</v>
      </c>
      <c r="E35" s="21" t="n">
        <v>26.7</v>
      </c>
      <c r="F35" s="21" t="n">
        <v>25.2</v>
      </c>
      <c r="G35" s="18" t="n">
        <f aca="false">SUM(C35:F35)</f>
        <v>101.3</v>
      </c>
      <c r="I35" s="4" t="s">
        <v>46</v>
      </c>
      <c r="J35" s="6" t="n">
        <f aca="false">AVERAGE(C34:F34)</f>
        <v>25.65</v>
      </c>
      <c r="K35" s="24" t="s">
        <v>47</v>
      </c>
      <c r="Q35" s="4" t="s">
        <v>39</v>
      </c>
      <c r="R35" s="6" t="n">
        <f aca="false">AVERAGE(C53/$B$43)</f>
        <v>25.875</v>
      </c>
      <c r="S35" s="24" t="s">
        <v>47</v>
      </c>
      <c r="T35" s="4" t="s">
        <v>39</v>
      </c>
      <c r="U35" s="23" t="n">
        <v>25.875</v>
      </c>
      <c r="V35" s="25" t="n">
        <f aca="false">$U35-V$34</f>
        <v>0</v>
      </c>
      <c r="W35" s="25" t="n">
        <f aca="false">$U35-W$34</f>
        <v>0.225000000000001</v>
      </c>
      <c r="X35" s="26" t="n">
        <f aca="false">$U35-X$34</f>
        <v>5.825</v>
      </c>
    </row>
    <row r="36" customFormat="false" ht="13.8" hidden="false" customHeight="false" outlineLevel="0" collapsed="false">
      <c r="A36" s="8"/>
      <c r="B36" s="9" t="s">
        <v>48</v>
      </c>
      <c r="C36" s="21" t="n">
        <v>25.7</v>
      </c>
      <c r="D36" s="21" t="n">
        <v>26.3</v>
      </c>
      <c r="E36" s="21" t="n">
        <v>25.1</v>
      </c>
      <c r="F36" s="21" t="n">
        <v>26.4</v>
      </c>
      <c r="G36" s="18" t="n">
        <f aca="false">SUM(C36:F36)</f>
        <v>103.5</v>
      </c>
      <c r="I36" s="4" t="s">
        <v>49</v>
      </c>
      <c r="J36" s="6" t="n">
        <f aca="false">AVERAGE(C35:F35)</f>
        <v>25.325</v>
      </c>
      <c r="K36" s="24" t="s">
        <v>47</v>
      </c>
      <c r="Q36" s="4" t="s">
        <v>40</v>
      </c>
      <c r="R36" s="6" t="n">
        <f aca="false">AVERAGE(C52/$B$43)</f>
        <v>25.65</v>
      </c>
      <c r="S36" s="24" t="s">
        <v>47</v>
      </c>
      <c r="T36" s="4" t="s">
        <v>40</v>
      </c>
      <c r="U36" s="23" t="n">
        <v>25.65</v>
      </c>
      <c r="V36" s="25"/>
      <c r="W36" s="25" t="n">
        <f aca="false">$U36-W$34</f>
        <v>0</v>
      </c>
      <c r="X36" s="26" t="n">
        <f aca="false">$U36-X$34</f>
        <v>5.6</v>
      </c>
    </row>
    <row r="37" customFormat="false" ht="13.8" hidden="false" customHeight="false" outlineLevel="0" collapsed="false">
      <c r="A37" s="8"/>
      <c r="B37" s="9" t="s">
        <v>50</v>
      </c>
      <c r="C37" s="21" t="n">
        <v>19.6</v>
      </c>
      <c r="D37" s="21" t="n">
        <v>21.1</v>
      </c>
      <c r="E37" s="21" t="n">
        <v>19</v>
      </c>
      <c r="F37" s="21" t="n">
        <v>18.6</v>
      </c>
      <c r="G37" s="18" t="n">
        <f aca="false">SUM(C37:F37)</f>
        <v>78.3</v>
      </c>
      <c r="K37" s="19"/>
      <c r="Q37" s="4" t="s">
        <v>41</v>
      </c>
      <c r="R37" s="6" t="n">
        <f aca="false">AVERAGE(C54/$B$43)</f>
        <v>20.05</v>
      </c>
      <c r="S37" s="24" t="s">
        <v>51</v>
      </c>
      <c r="T37" s="4" t="s">
        <v>41</v>
      </c>
      <c r="U37" s="23" t="n">
        <v>20.05</v>
      </c>
      <c r="V37" s="25"/>
      <c r="W37" s="25"/>
      <c r="X37" s="25" t="n">
        <f aca="false">$U37-X$34</f>
        <v>0</v>
      </c>
    </row>
    <row r="38" customFormat="false" ht="13.8" hidden="false" customHeight="false" outlineLevel="0" collapsed="false">
      <c r="A38" s="8"/>
      <c r="B38" s="9" t="s">
        <v>52</v>
      </c>
      <c r="C38" s="21" t="n">
        <v>22.8</v>
      </c>
      <c r="D38" s="21" t="n">
        <v>19.4</v>
      </c>
      <c r="E38" s="21" t="n">
        <v>18.8</v>
      </c>
      <c r="F38" s="21" t="n">
        <v>19.2</v>
      </c>
      <c r="G38" s="18" t="n">
        <f aca="false">SUM(C38:F38)</f>
        <v>80.2</v>
      </c>
      <c r="I38" s="22" t="s">
        <v>53</v>
      </c>
      <c r="J38" s="22"/>
      <c r="K38" s="19"/>
      <c r="Q38" s="0"/>
      <c r="R38" s="0"/>
      <c r="S38" s="19"/>
      <c r="U38" s="1" t="s">
        <v>54</v>
      </c>
      <c r="V38" s="1" t="n">
        <f aca="false">3.61*SQRT(T28/B43)</f>
        <v>2.04433902996652</v>
      </c>
    </row>
    <row r="39" customFormat="false" ht="13.8" hidden="false" customHeight="false" outlineLevel="0" collapsed="false">
      <c r="A39" s="8"/>
      <c r="B39" s="9" t="s">
        <v>55</v>
      </c>
      <c r="C39" s="21" t="n">
        <v>19.8</v>
      </c>
      <c r="D39" s="21" t="n">
        <v>21.4</v>
      </c>
      <c r="E39" s="21" t="n">
        <v>22.8</v>
      </c>
      <c r="F39" s="21" t="n">
        <v>21.3</v>
      </c>
      <c r="G39" s="18" t="n">
        <f aca="false">SUM(C39:F39)</f>
        <v>85.3</v>
      </c>
      <c r="I39" s="4" t="s">
        <v>46</v>
      </c>
      <c r="J39" s="6" t="n">
        <f aca="false">AVERAGE(C36:F36)</f>
        <v>25.875</v>
      </c>
      <c r="K39" s="24" t="s">
        <v>47</v>
      </c>
      <c r="Q39" s="0"/>
      <c r="R39" s="0"/>
      <c r="S39" s="0"/>
      <c r="T39" s="0"/>
      <c r="U39" s="0"/>
    </row>
    <row r="40" customFormat="false" ht="13.8" hidden="false" customHeight="false" outlineLevel="0" collapsed="false">
      <c r="A40" s="8"/>
      <c r="B40" s="8"/>
      <c r="C40" s="8"/>
      <c r="D40" s="8"/>
      <c r="E40" s="8"/>
      <c r="F40" s="8"/>
      <c r="G40" s="8"/>
      <c r="I40" s="4" t="s">
        <v>49</v>
      </c>
      <c r="J40" s="6" t="n">
        <f aca="false">AVERAGE(C37:F37)</f>
        <v>19.575</v>
      </c>
      <c r="K40" s="24" t="s">
        <v>51</v>
      </c>
      <c r="Q40" s="0"/>
      <c r="R40" s="0"/>
      <c r="S40" s="0"/>
      <c r="T40" s="0"/>
      <c r="U40" s="0"/>
    </row>
    <row r="41" customFormat="false" ht="13.8" hidden="false" customHeight="false" outlineLevel="0" collapsed="false">
      <c r="K41" s="19"/>
      <c r="Q41" s="0"/>
      <c r="R41" s="0"/>
      <c r="S41" s="0"/>
      <c r="T41" s="17" t="s">
        <v>37</v>
      </c>
      <c r="U41" s="17"/>
      <c r="V41" s="17"/>
      <c r="W41" s="17"/>
      <c r="X41" s="17"/>
    </row>
    <row r="42" customFormat="false" ht="13.8" hidden="false" customHeight="false" outlineLevel="0" collapsed="false">
      <c r="A42" s="1" t="s">
        <v>56</v>
      </c>
      <c r="B42" s="1" t="n">
        <f aca="false">COUNT(C34:C39)</f>
        <v>6</v>
      </c>
      <c r="I42" s="22" t="s">
        <v>57</v>
      </c>
      <c r="J42" s="22"/>
      <c r="K42" s="19"/>
      <c r="Q42" s="0"/>
      <c r="R42" s="0"/>
      <c r="S42" s="0"/>
      <c r="T42" s="19"/>
      <c r="U42" s="20"/>
      <c r="V42" s="4" t="s">
        <v>40</v>
      </c>
      <c r="W42" s="4" t="s">
        <v>41</v>
      </c>
      <c r="X42" s="4" t="s">
        <v>39</v>
      </c>
      <c r="Y42" s="0"/>
    </row>
    <row r="43" customFormat="false" ht="13.8" hidden="false" customHeight="false" outlineLevel="0" collapsed="false">
      <c r="A43" s="1" t="s">
        <v>58</v>
      </c>
      <c r="B43" s="1" t="n">
        <f aca="false">COUNT(C39:F39)</f>
        <v>4</v>
      </c>
      <c r="I43" s="4" t="s">
        <v>46</v>
      </c>
      <c r="J43" s="6" t="n">
        <f aca="false">AVERAGE(C38:F38)</f>
        <v>20.05</v>
      </c>
      <c r="K43" s="24" t="s">
        <v>47</v>
      </c>
      <c r="Q43" s="22" t="s">
        <v>59</v>
      </c>
      <c r="R43" s="22"/>
      <c r="S43" s="24"/>
      <c r="T43" s="20"/>
      <c r="U43" s="20"/>
      <c r="V43" s="23" t="n">
        <v>25.325</v>
      </c>
      <c r="W43" s="23" t="n">
        <v>21.325</v>
      </c>
      <c r="X43" s="23" t="n">
        <v>19.575</v>
      </c>
      <c r="Y43" s="0"/>
    </row>
    <row r="44" customFormat="false" ht="13.8" hidden="false" customHeight="false" outlineLevel="0" collapsed="false">
      <c r="A44" s="1" t="s">
        <v>60</v>
      </c>
      <c r="B44" s="1" t="n">
        <f aca="false">SUM(C34:F39)^2/(B42*B43)</f>
        <v>12659.2266666667</v>
      </c>
      <c r="I44" s="4" t="s">
        <v>49</v>
      </c>
      <c r="J44" s="6" t="n">
        <f aca="false">AVERAGE(C39:F39)</f>
        <v>21.325</v>
      </c>
      <c r="K44" s="24" t="s">
        <v>47</v>
      </c>
      <c r="Q44" s="4" t="s">
        <v>40</v>
      </c>
      <c r="R44" s="6" t="n">
        <f aca="false">AVERAGE(D52/$B$43)</f>
        <v>25.325</v>
      </c>
      <c r="S44" s="24" t="s">
        <v>47</v>
      </c>
      <c r="T44" s="4" t="s">
        <v>40</v>
      </c>
      <c r="U44" s="23" t="n">
        <v>25.325</v>
      </c>
      <c r="V44" s="25" t="n">
        <f aca="false">$U44-V$43</f>
        <v>0</v>
      </c>
      <c r="W44" s="26" t="n">
        <f aca="false">$U44-W$43</f>
        <v>4</v>
      </c>
      <c r="X44" s="26" t="n">
        <f aca="false">$U44-X$43</f>
        <v>5.75</v>
      </c>
    </row>
    <row r="45" customFormat="false" ht="13.8" hidden="false" customHeight="false" outlineLevel="0" collapsed="false">
      <c r="A45" s="1" t="s">
        <v>61</v>
      </c>
      <c r="B45" s="1" t="n">
        <v>3</v>
      </c>
      <c r="Q45" s="4" t="s">
        <v>39</v>
      </c>
      <c r="R45" s="6" t="n">
        <f aca="false">AVERAGE(D53/$B$43)</f>
        <v>19.575</v>
      </c>
      <c r="S45" s="27" t="s">
        <v>51</v>
      </c>
      <c r="T45" s="4" t="s">
        <v>41</v>
      </c>
      <c r="U45" s="23" t="n">
        <v>21.325</v>
      </c>
      <c r="V45" s="25"/>
      <c r="W45" s="25" t="n">
        <f aca="false">$U45-W$43</f>
        <v>0</v>
      </c>
      <c r="X45" s="25" t="n">
        <f aca="false">$U45-X$43</f>
        <v>1.75</v>
      </c>
    </row>
    <row r="46" customFormat="false" ht="13.8" hidden="false" customHeight="false" outlineLevel="0" collapsed="false">
      <c r="A46" s="1" t="s">
        <v>62</v>
      </c>
      <c r="B46" s="1" t="n">
        <v>2</v>
      </c>
      <c r="Q46" s="4" t="s">
        <v>41</v>
      </c>
      <c r="R46" s="6" t="n">
        <f aca="false">AVERAGE(D54/$B$43)</f>
        <v>21.325</v>
      </c>
      <c r="S46" s="27" t="s">
        <v>51</v>
      </c>
      <c r="T46" s="4" t="s">
        <v>39</v>
      </c>
      <c r="U46" s="23" t="n">
        <v>19.575</v>
      </c>
      <c r="V46" s="25"/>
      <c r="W46" s="25"/>
      <c r="X46" s="25" t="n">
        <f aca="false">$U46-X$43</f>
        <v>0</v>
      </c>
    </row>
    <row r="47" customFormat="false" ht="13.8" hidden="false" customHeight="false" outlineLevel="0" collapsed="false">
      <c r="T47" s="0"/>
      <c r="U47" s="0" t="s">
        <v>54</v>
      </c>
      <c r="V47" s="1" t="n">
        <f aca="false">3.61*SQRT(T28/B43)</f>
        <v>2.04433902996652</v>
      </c>
    </row>
    <row r="51" customFormat="false" ht="13.8" hidden="false" customHeight="false" outlineLevel="0" collapsed="false">
      <c r="B51" s="28" t="n">
        <v>4</v>
      </c>
      <c r="C51" s="4" t="s">
        <v>63</v>
      </c>
      <c r="D51" s="4" t="s">
        <v>64</v>
      </c>
      <c r="E51" s="23" t="s">
        <v>65</v>
      </c>
    </row>
    <row r="52" customFormat="false" ht="13.8" hidden="false" customHeight="false" outlineLevel="0" collapsed="false">
      <c r="B52" s="4" t="s">
        <v>66</v>
      </c>
      <c r="C52" s="6" t="n">
        <f aca="false">SUM(C34:F34)</f>
        <v>102.6</v>
      </c>
      <c r="D52" s="6" t="n">
        <f aca="false">SUM(C35:F35)</f>
        <v>101.3</v>
      </c>
      <c r="E52" s="25" t="n">
        <f aca="false">SUM(C52:D52)</f>
        <v>203.9</v>
      </c>
    </row>
    <row r="53" customFormat="false" ht="13.8" hidden="false" customHeight="false" outlineLevel="0" collapsed="false">
      <c r="B53" s="4" t="s">
        <v>67</v>
      </c>
      <c r="C53" s="6" t="n">
        <f aca="false">SUM(C36:F36)</f>
        <v>103.5</v>
      </c>
      <c r="D53" s="6" t="n">
        <f aca="false">SUM(C37:F37)</f>
        <v>78.3</v>
      </c>
      <c r="E53" s="25" t="n">
        <f aca="false">SUM(C53:D53)</f>
        <v>181.8</v>
      </c>
    </row>
    <row r="54" customFormat="false" ht="13.8" hidden="false" customHeight="false" outlineLevel="0" collapsed="false">
      <c r="B54" s="4" t="s">
        <v>68</v>
      </c>
      <c r="C54" s="6" t="n">
        <f aca="false">SUM(C38:F38)</f>
        <v>80.2</v>
      </c>
      <c r="D54" s="6" t="n">
        <f aca="false">SUM(C39:F39)</f>
        <v>85.3</v>
      </c>
      <c r="E54" s="25" t="n">
        <f aca="false">SUM(C54:D54)</f>
        <v>165.5</v>
      </c>
    </row>
    <row r="55" customFormat="false" ht="13.8" hidden="false" customHeight="false" outlineLevel="0" collapsed="false">
      <c r="B55" s="23" t="s">
        <v>69</v>
      </c>
      <c r="C55" s="25" t="n">
        <f aca="false">SUM(C52:C54)</f>
        <v>286.3</v>
      </c>
      <c r="D55" s="25" t="n">
        <f aca="false">SUM(D52:D54)</f>
        <v>264.9</v>
      </c>
      <c r="E55" s="25"/>
    </row>
    <row r="58" customFormat="false" ht="13.8" hidden="false" customHeight="false" outlineLevel="0" collapsed="false">
      <c r="B58" s="0"/>
      <c r="C58" s="0"/>
      <c r="D58" s="0"/>
    </row>
    <row r="59" customFormat="false" ht="13.8" hidden="false" customHeight="false" outlineLevel="0" collapsed="false">
      <c r="B59" s="0"/>
      <c r="C59" s="0"/>
      <c r="D59" s="0"/>
    </row>
    <row r="60" customFormat="false" ht="13.8" hidden="false" customHeight="false" outlineLevel="0" collapsed="false">
      <c r="B60" s="0"/>
      <c r="C60" s="0"/>
      <c r="D60" s="0"/>
    </row>
    <row r="61" customFormat="false" ht="13.8" hidden="false" customHeight="false" outlineLevel="0" collapsed="false">
      <c r="B61" s="0"/>
      <c r="C61" s="0"/>
      <c r="D61" s="0"/>
    </row>
    <row r="62" customFormat="false" ht="13.8" hidden="false" customHeight="false" outlineLevel="0" collapsed="false">
      <c r="B62" s="0"/>
      <c r="C62" s="0"/>
      <c r="D62" s="0"/>
    </row>
    <row r="63" customFormat="false" ht="13.8" hidden="false" customHeight="false" outlineLevel="0" collapsed="false">
      <c r="B63" s="0"/>
      <c r="C63" s="0"/>
      <c r="D63" s="0"/>
    </row>
    <row r="64" customFormat="false" ht="13.8" hidden="false" customHeight="false" outlineLevel="0" collapsed="false">
      <c r="B64" s="0"/>
      <c r="C64" s="0"/>
      <c r="D64" s="0"/>
    </row>
    <row r="65" customFormat="false" ht="13.8" hidden="false" customHeight="false" outlineLevel="0" collapsed="false">
      <c r="B65" s="0"/>
      <c r="C65" s="0"/>
      <c r="D65" s="0"/>
    </row>
    <row r="66" customFormat="false" ht="13.8" hidden="false" customHeight="false" outlineLevel="0" collapsed="false">
      <c r="B66" s="0"/>
      <c r="C66" s="0"/>
      <c r="D66" s="0"/>
    </row>
    <row r="67" customFormat="false" ht="13.8" hidden="false" customHeight="false" outlineLevel="0" collapsed="false">
      <c r="B67" s="0"/>
      <c r="C67" s="0"/>
      <c r="D67" s="0"/>
    </row>
    <row r="68" customFormat="false" ht="13.8" hidden="false" customHeight="false" outlineLevel="0" collapsed="false">
      <c r="B68" s="0"/>
      <c r="C68" s="0"/>
      <c r="D68" s="0"/>
    </row>
  </sheetData>
  <mergeCells count="12">
    <mergeCell ref="A1:G17"/>
    <mergeCell ref="I24:N24"/>
    <mergeCell ref="Q24:V24"/>
    <mergeCell ref="A28:G30"/>
    <mergeCell ref="C32:F32"/>
    <mergeCell ref="T32:X32"/>
    <mergeCell ref="I34:J34"/>
    <mergeCell ref="Q34:R34"/>
    <mergeCell ref="I38:J38"/>
    <mergeCell ref="T41:X41"/>
    <mergeCell ref="I42:J42"/>
    <mergeCell ref="Q43:R4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L15" activeCellId="0" sqref="L15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3.8" hidden="false" customHeight="true" outlineLevel="0" collapsed="false">
      <c r="A1" s="29" t="s">
        <v>70</v>
      </c>
      <c r="B1" s="29"/>
      <c r="C1" s="29"/>
      <c r="D1" s="29"/>
      <c r="E1" s="29"/>
      <c r="F1" s="29"/>
      <c r="G1" s="29"/>
      <c r="H1" s="29"/>
    </row>
    <row r="2" customFormat="false" ht="13.8" hidden="false" customHeight="false" outlineLevel="0" collapsed="false">
      <c r="A2" s="29"/>
      <c r="B2" s="29"/>
      <c r="C2" s="29"/>
      <c r="D2" s="29"/>
      <c r="E2" s="29"/>
      <c r="F2" s="29"/>
      <c r="G2" s="29"/>
      <c r="H2" s="29"/>
    </row>
    <row r="3" customFormat="false" ht="13.8" hidden="false" customHeight="false" outlineLevel="0" collapsed="false">
      <c r="A3" s="29"/>
      <c r="B3" s="29"/>
      <c r="C3" s="29"/>
      <c r="D3" s="29"/>
      <c r="E3" s="29"/>
      <c r="F3" s="29"/>
      <c r="G3" s="29"/>
      <c r="H3" s="29"/>
    </row>
    <row r="4" customFormat="false" ht="13.8" hidden="false" customHeight="false" outlineLevel="0" collapsed="false">
      <c r="A4" s="29"/>
      <c r="B4" s="29"/>
      <c r="C4" s="29"/>
      <c r="D4" s="29"/>
      <c r="E4" s="29"/>
      <c r="F4" s="29"/>
      <c r="G4" s="29"/>
      <c r="H4" s="29"/>
    </row>
    <row r="5" customFormat="false" ht="13.8" hidden="false" customHeight="false" outlineLevel="0" collapsed="false">
      <c r="A5" s="29"/>
      <c r="B5" s="29"/>
      <c r="C5" s="29"/>
      <c r="D5" s="29"/>
      <c r="E5" s="29"/>
      <c r="F5" s="29"/>
      <c r="G5" s="29"/>
      <c r="H5" s="29"/>
    </row>
    <row r="6" customFormat="false" ht="13.8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3.8" hidden="false" customHeight="false" outlineLevel="0" collapsed="false">
      <c r="A7" s="8"/>
      <c r="B7" s="9" t="s">
        <v>71</v>
      </c>
      <c r="C7" s="9" t="s">
        <v>72</v>
      </c>
      <c r="D7" s="9" t="s">
        <v>73</v>
      </c>
      <c r="E7" s="9" t="s">
        <v>74</v>
      </c>
      <c r="F7" s="9" t="s">
        <v>75</v>
      </c>
      <c r="G7" s="8"/>
      <c r="H7" s="8"/>
    </row>
    <row r="8" customFormat="false" ht="13.8" hidden="false" customHeight="false" outlineLevel="0" collapsed="false">
      <c r="A8" s="8"/>
      <c r="B8" s="16" t="n">
        <v>0</v>
      </c>
      <c r="C8" s="9" t="s">
        <v>76</v>
      </c>
      <c r="D8" s="21" t="n">
        <v>1.97</v>
      </c>
      <c r="E8" s="21" t="n">
        <v>4.5</v>
      </c>
      <c r="F8" s="21" t="n">
        <v>6.46</v>
      </c>
      <c r="G8" s="8"/>
      <c r="H8" s="8"/>
    </row>
    <row r="9" customFormat="false" ht="13.8" hidden="false" customHeight="false" outlineLevel="0" collapsed="false">
      <c r="A9" s="8"/>
      <c r="B9" s="16"/>
      <c r="C9" s="9" t="s">
        <v>77</v>
      </c>
      <c r="D9" s="21" t="n">
        <v>1.9</v>
      </c>
      <c r="E9" s="21" t="n">
        <v>4.5</v>
      </c>
      <c r="F9" s="21" t="n">
        <v>7.8</v>
      </c>
      <c r="G9" s="8"/>
      <c r="H9" s="8"/>
    </row>
    <row r="10" customFormat="false" ht="13.8" hidden="false" customHeight="false" outlineLevel="0" collapsed="false">
      <c r="A10" s="8"/>
      <c r="B10" s="16"/>
      <c r="C10" s="9" t="s">
        <v>78</v>
      </c>
      <c r="D10" s="21" t="n">
        <v>2.02</v>
      </c>
      <c r="E10" s="21" t="n">
        <v>3.9</v>
      </c>
      <c r="F10" s="21" t="n">
        <v>6.82</v>
      </c>
      <c r="G10" s="8"/>
      <c r="H10" s="8"/>
    </row>
    <row r="11" customFormat="false" ht="13.8" hidden="false" customHeight="false" outlineLevel="0" collapsed="false">
      <c r="A11" s="8"/>
      <c r="B11" s="16" t="n">
        <v>1</v>
      </c>
      <c r="C11" s="9" t="s">
        <v>76</v>
      </c>
      <c r="D11" s="21" t="n">
        <v>2.59</v>
      </c>
      <c r="E11" s="21" t="n">
        <v>5.1</v>
      </c>
      <c r="F11" s="21" t="n">
        <v>7.64</v>
      </c>
      <c r="G11" s="8"/>
      <c r="H11" s="8"/>
    </row>
    <row r="12" customFormat="false" ht="13.8" hidden="false" customHeight="false" outlineLevel="0" collapsed="false">
      <c r="A12" s="8"/>
      <c r="B12" s="16"/>
      <c r="C12" s="9" t="s">
        <v>77</v>
      </c>
      <c r="D12" s="21" t="n">
        <v>2.4</v>
      </c>
      <c r="E12" s="21" t="n">
        <v>5</v>
      </c>
      <c r="F12" s="21" t="n">
        <v>7.8</v>
      </c>
      <c r="G12" s="8"/>
      <c r="H12" s="8"/>
    </row>
    <row r="13" customFormat="false" ht="13.8" hidden="false" customHeight="false" outlineLevel="0" collapsed="false">
      <c r="A13" s="8"/>
      <c r="B13" s="16"/>
      <c r="C13" s="9" t="s">
        <v>78</v>
      </c>
      <c r="D13" s="21" t="n">
        <v>2.63</v>
      </c>
      <c r="E13" s="21" t="n">
        <v>4.95</v>
      </c>
      <c r="F13" s="21" t="n">
        <v>7.82</v>
      </c>
      <c r="G13" s="8"/>
      <c r="H13" s="8"/>
    </row>
    <row r="14" customFormat="false" ht="13.8" hidden="false" customHeight="false" outlineLevel="0" collapsed="false">
      <c r="A14" s="8"/>
      <c r="B14" s="16" t="n">
        <v>2</v>
      </c>
      <c r="C14" s="9" t="s">
        <v>76</v>
      </c>
      <c r="D14" s="21" t="n">
        <v>2.83</v>
      </c>
      <c r="E14" s="21" t="n">
        <v>5.5</v>
      </c>
      <c r="F14" s="21" t="n">
        <v>5.4</v>
      </c>
      <c r="G14" s="8"/>
      <c r="H14" s="8"/>
    </row>
    <row r="15" customFormat="false" ht="13.8" hidden="false" customHeight="false" outlineLevel="0" collapsed="false">
      <c r="A15" s="8"/>
      <c r="B15" s="16"/>
      <c r="C15" s="9" t="s">
        <v>77</v>
      </c>
      <c r="D15" s="21" t="n">
        <v>2.94</v>
      </c>
      <c r="E15" s="21" t="n">
        <v>5.6</v>
      </c>
      <c r="F15" s="21" t="n">
        <v>5.7</v>
      </c>
      <c r="G15" s="8"/>
      <c r="H15" s="8"/>
    </row>
    <row r="16" customFormat="false" ht="13.8" hidden="false" customHeight="false" outlineLevel="0" collapsed="false">
      <c r="A16" s="8"/>
      <c r="B16" s="16"/>
      <c r="C16" s="9" t="s">
        <v>78</v>
      </c>
      <c r="D16" s="21" t="n">
        <v>3</v>
      </c>
      <c r="E16" s="21" t="n">
        <v>5.8</v>
      </c>
      <c r="F16" s="21" t="n">
        <v>6.7</v>
      </c>
      <c r="G16" s="8"/>
      <c r="H16" s="8"/>
    </row>
    <row r="17" customFormat="false" ht="13.8" hidden="false" customHeight="false" outlineLevel="0" collapsed="false">
      <c r="A17" s="8"/>
      <c r="B17" s="16" t="n">
        <v>4</v>
      </c>
      <c r="C17" s="9" t="s">
        <v>76</v>
      </c>
      <c r="D17" s="21" t="n">
        <v>3.32</v>
      </c>
      <c r="E17" s="21" t="n">
        <v>3.8</v>
      </c>
      <c r="F17" s="21" t="n">
        <v>5.3</v>
      </c>
      <c r="G17" s="8"/>
      <c r="H17" s="8"/>
    </row>
    <row r="18" customFormat="false" ht="13.8" hidden="false" customHeight="false" outlineLevel="0" collapsed="false">
      <c r="A18" s="8"/>
      <c r="B18" s="16"/>
      <c r="C18" s="9" t="s">
        <v>77</v>
      </c>
      <c r="D18" s="21" t="n">
        <v>4.8</v>
      </c>
      <c r="E18" s="21" t="n">
        <v>4.2</v>
      </c>
      <c r="F18" s="21" t="n">
        <v>5.48</v>
      </c>
      <c r="G18" s="8"/>
      <c r="H18" s="8"/>
    </row>
    <row r="19" customFormat="false" ht="13.8" hidden="false" customHeight="false" outlineLevel="0" collapsed="false">
      <c r="A19" s="8"/>
      <c r="B19" s="16"/>
      <c r="C19" s="9" t="s">
        <v>78</v>
      </c>
      <c r="D19" s="21" t="n">
        <v>5</v>
      </c>
      <c r="E19" s="21" t="n">
        <v>3.65</v>
      </c>
      <c r="F19" s="21" t="n">
        <v>4.9</v>
      </c>
      <c r="G19" s="8"/>
      <c r="H19" s="8"/>
    </row>
    <row r="20" customFormat="false" ht="13.8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</sheetData>
  <mergeCells count="5">
    <mergeCell ref="A1:H5"/>
    <mergeCell ref="B8:B10"/>
    <mergeCell ref="B11:B13"/>
    <mergeCell ref="B14:B16"/>
    <mergeCell ref="B17:B19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5" activeCellId="0" sqref="E1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9" width="13.81"/>
    <col collapsed="false" customWidth="true" hidden="false" outlineLevel="0" max="1024" min="2" style="19" width="6.64"/>
    <col collapsed="false" customWidth="false" hidden="false" outlineLevel="0" max="16384" min="1025" style="30" width="11.53"/>
  </cols>
  <sheetData>
    <row r="1" customFormat="false" ht="13.8" hidden="false" customHeight="true" outlineLevel="0" collapsed="false">
      <c r="A1" s="31" t="s">
        <v>79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3.8" hidden="false" customHeight="fals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1"/>
      <c r="M2" s="1"/>
      <c r="N2" s="1"/>
      <c r="O2" s="1"/>
      <c r="P2" s="1"/>
      <c r="Q2" s="1"/>
      <c r="R2" s="1"/>
      <c r="S2" s="1"/>
    </row>
    <row r="3" customFormat="false" ht="13.8" hidden="false" customHeight="fals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</row>
    <row r="4" customFormat="false" ht="13.8" hidden="false" customHeight="fals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1"/>
      <c r="M4" s="1"/>
      <c r="N4" s="1"/>
      <c r="O4" s="1"/>
      <c r="P4" s="1"/>
      <c r="Q4" s="1"/>
      <c r="R4" s="1"/>
      <c r="S4" s="1"/>
    </row>
    <row r="5" customFormat="false" ht="13.8" hidden="false" customHeight="fals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1"/>
      <c r="M5" s="1"/>
      <c r="N5" s="1"/>
      <c r="O5" s="1"/>
      <c r="P5" s="1"/>
      <c r="Q5" s="1"/>
      <c r="R5" s="1"/>
      <c r="S5" s="1"/>
    </row>
    <row r="6" customFormat="false" ht="13.8" hidden="false" customHeight="fals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1"/>
      <c r="M6" s="1"/>
      <c r="N6" s="1"/>
      <c r="O6" s="1"/>
      <c r="P6" s="1"/>
      <c r="Q6" s="1"/>
      <c r="R6" s="1"/>
      <c r="S6" s="1"/>
    </row>
    <row r="7" customFormat="false" ht="13.8" hidden="false" customHeight="false" outlineLevel="0" collapsed="false">
      <c r="A7" s="9" t="s">
        <v>80</v>
      </c>
      <c r="B7" s="16" t="s">
        <v>81</v>
      </c>
      <c r="C7" s="16"/>
      <c r="D7" s="16"/>
      <c r="E7" s="16" t="s">
        <v>82</v>
      </c>
      <c r="F7" s="16"/>
      <c r="G7" s="16"/>
      <c r="H7" s="16" t="s">
        <v>83</v>
      </c>
      <c r="I7" s="16"/>
      <c r="J7" s="16"/>
      <c r="K7" s="18"/>
      <c r="L7" s="1"/>
      <c r="M7" s="1"/>
      <c r="N7" s="1"/>
      <c r="O7" s="1"/>
      <c r="P7" s="1"/>
      <c r="Q7" s="1"/>
      <c r="R7" s="1"/>
      <c r="S7" s="1"/>
    </row>
    <row r="8" customFormat="false" ht="13.8" hidden="false" customHeight="false" outlineLevel="0" collapsed="false">
      <c r="A8" s="9" t="s">
        <v>84</v>
      </c>
      <c r="B8" s="21" t="n">
        <v>45</v>
      </c>
      <c r="C8" s="21" t="n">
        <v>39</v>
      </c>
      <c r="D8" s="21" t="n">
        <v>46</v>
      </c>
      <c r="E8" s="21" t="n">
        <v>43</v>
      </c>
      <c r="F8" s="21" t="n">
        <v>46</v>
      </c>
      <c r="G8" s="21" t="n">
        <v>41</v>
      </c>
      <c r="H8" s="21" t="n">
        <v>55</v>
      </c>
      <c r="I8" s="21" t="n">
        <v>48</v>
      </c>
      <c r="J8" s="21" t="n">
        <v>53</v>
      </c>
      <c r="K8" s="18"/>
    </row>
    <row r="9" customFormat="false" ht="13.8" hidden="false" customHeight="false" outlineLevel="0" collapsed="false">
      <c r="A9" s="9" t="s">
        <v>85</v>
      </c>
      <c r="B9" s="21" t="n">
        <v>37</v>
      </c>
      <c r="C9" s="21" t="n">
        <v>32</v>
      </c>
      <c r="D9" s="21" t="n">
        <v>43</v>
      </c>
      <c r="E9" s="21" t="n">
        <v>40</v>
      </c>
      <c r="F9" s="21" t="n">
        <v>37</v>
      </c>
      <c r="G9" s="21" t="n">
        <v>46</v>
      </c>
      <c r="H9" s="21" t="n">
        <v>56</v>
      </c>
      <c r="I9" s="21" t="n">
        <v>51</v>
      </c>
      <c r="J9" s="21" t="n">
        <v>53</v>
      </c>
      <c r="K9" s="18"/>
    </row>
    <row r="10" customFormat="false" ht="13.8" hidden="false" customHeight="false" outlineLevel="0" collapsed="false">
      <c r="A10" s="9" t="s">
        <v>86</v>
      </c>
      <c r="B10" s="21" t="n">
        <v>42</v>
      </c>
      <c r="C10" s="21" t="n">
        <v>42</v>
      </c>
      <c r="D10" s="21" t="n">
        <v>46</v>
      </c>
      <c r="E10" s="21" t="n">
        <v>44</v>
      </c>
      <c r="F10" s="21" t="n">
        <v>45</v>
      </c>
      <c r="G10" s="21" t="n">
        <v>38</v>
      </c>
      <c r="H10" s="21" t="n">
        <v>46</v>
      </c>
      <c r="I10" s="21" t="n">
        <v>49</v>
      </c>
      <c r="J10" s="21" t="n">
        <v>42</v>
      </c>
      <c r="K10" s="18"/>
    </row>
    <row r="11" customFormat="false" ht="13.8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3.8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2"/>
    </row>
    <row r="13" s="30" customFormat="true" ht="13.8" hidden="false" customHeight="false" outlineLevel="0" collapsed="false"/>
    <row r="14" customFormat="false" ht="13.8" hidden="false" customHeight="false" outlineLevel="0" collapsed="false">
      <c r="K14" s="33"/>
    </row>
  </sheetData>
  <mergeCells count="4">
    <mergeCell ref="A1:K6"/>
    <mergeCell ref="B7:D7"/>
    <mergeCell ref="E7:G7"/>
    <mergeCell ref="H7:J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26" activeCellId="0" sqref="G2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9" width="14.21"/>
    <col collapsed="false" customWidth="true" hidden="false" outlineLevel="0" max="11" min="2" style="19" width="9.82"/>
    <col collapsed="false" customWidth="true" hidden="false" outlineLevel="0" max="12" min="12" style="19" width="2.08"/>
    <col collapsed="false" customWidth="true" hidden="false" outlineLevel="0" max="1024" min="13" style="19" width="9.82"/>
  </cols>
  <sheetData>
    <row r="1" customFormat="false" ht="13.8" hidden="false" customHeight="true" outlineLevel="0" collapsed="false">
      <c r="A1" s="31" t="s">
        <v>87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18"/>
    </row>
    <row r="2" customFormat="false" ht="13.8" hidden="false" customHeight="fals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18"/>
    </row>
    <row r="3" customFormat="false" ht="13.8" hidden="false" customHeight="fals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18"/>
    </row>
    <row r="4" customFormat="false" ht="13.8" hidden="false" customHeight="fals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18"/>
    </row>
    <row r="5" customFormat="false" ht="13.8" hidden="false" customHeight="fals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18"/>
    </row>
    <row r="6" customFormat="false" ht="13.8" hidden="false" customHeight="fals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18"/>
    </row>
    <row r="7" customFormat="false" ht="13.8" hidden="false" customHeight="false" outlineLevel="0" collapsed="false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18"/>
    </row>
    <row r="8" customFormat="false" ht="13.8" hidden="false" customHeight="false" outlineLevel="0" collapsed="false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18"/>
    </row>
    <row r="9" customFormat="false" ht="13.8" hidden="false" customHeight="fals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18"/>
    </row>
    <row r="10" customFormat="false" ht="13.8" hidden="false" customHeight="false" outlineLevel="0" collapsed="false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18"/>
    </row>
    <row r="11" customFormat="false" ht="13.8" hidden="false" customHeight="false" outlineLevel="0" collapsed="false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18"/>
    </row>
    <row r="12" customFormat="false" ht="13.8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18"/>
    </row>
    <row r="13" customFormat="false" ht="13.8" hidden="false" customHeight="false" outlineLevel="0" collapsed="false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18"/>
    </row>
    <row r="14" customFormat="false" ht="13.8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13.8" hidden="false" customHeight="false" outlineLevel="0" collapsed="false">
      <c r="A15" s="16" t="s">
        <v>88</v>
      </c>
      <c r="B15" s="16" t="s">
        <v>72</v>
      </c>
      <c r="C15" s="16"/>
      <c r="D15" s="16"/>
      <c r="E15" s="16"/>
      <c r="F15" s="16"/>
      <c r="G15" s="16"/>
      <c r="H15" s="16"/>
      <c r="I15" s="16"/>
      <c r="J15" s="16"/>
      <c r="K15" s="16"/>
      <c r="L15" s="18"/>
    </row>
    <row r="16" customFormat="false" ht="13.8" hidden="false" customHeight="false" outlineLevel="0" collapsed="false">
      <c r="A16" s="16"/>
      <c r="B16" s="9" t="s">
        <v>76</v>
      </c>
      <c r="C16" s="9" t="s">
        <v>77</v>
      </c>
      <c r="D16" s="9" t="s">
        <v>78</v>
      </c>
      <c r="E16" s="9" t="s">
        <v>89</v>
      </c>
      <c r="F16" s="9" t="s">
        <v>90</v>
      </c>
      <c r="G16" s="9" t="s">
        <v>91</v>
      </c>
      <c r="H16" s="9" t="s">
        <v>92</v>
      </c>
      <c r="I16" s="9" t="s">
        <v>93</v>
      </c>
      <c r="J16" s="9" t="s">
        <v>94</v>
      </c>
      <c r="K16" s="9" t="s">
        <v>95</v>
      </c>
      <c r="L16" s="18"/>
    </row>
    <row r="17" customFormat="false" ht="13.8" hidden="false" customHeight="false" outlineLevel="0" collapsed="false">
      <c r="A17" s="9" t="s">
        <v>96</v>
      </c>
      <c r="B17" s="28" t="n">
        <v>22.4</v>
      </c>
      <c r="C17" s="28" t="n">
        <v>20.85</v>
      </c>
      <c r="D17" s="28" t="n">
        <v>23.6</v>
      </c>
      <c r="E17" s="28" t="n">
        <v>21</v>
      </c>
      <c r="F17" s="28" t="n">
        <v>19.1</v>
      </c>
      <c r="G17" s="28" t="n">
        <v>19.8</v>
      </c>
      <c r="H17" s="28" t="n">
        <v>16.55</v>
      </c>
      <c r="I17" s="28" t="n">
        <v>14.75</v>
      </c>
      <c r="J17" s="28" t="n">
        <v>21.1</v>
      </c>
      <c r="K17" s="28" t="n">
        <v>14.3</v>
      </c>
      <c r="L17" s="18"/>
    </row>
    <row r="18" customFormat="false" ht="13.8" hidden="false" customHeight="false" outlineLevel="0" collapsed="false">
      <c r="A18" s="9" t="s">
        <v>97</v>
      </c>
      <c r="B18" s="28" t="n">
        <v>22.9</v>
      </c>
      <c r="C18" s="28" t="n">
        <v>21.4</v>
      </c>
      <c r="D18" s="28" t="n">
        <v>23.95</v>
      </c>
      <c r="E18" s="28" t="n">
        <v>22.25</v>
      </c>
      <c r="F18" s="28" t="n">
        <v>21.4</v>
      </c>
      <c r="G18" s="28" t="n">
        <v>21</v>
      </c>
      <c r="H18" s="28" t="n">
        <v>16.9</v>
      </c>
      <c r="I18" s="28" t="n">
        <v>14.85</v>
      </c>
      <c r="J18" s="28" t="n">
        <v>22</v>
      </c>
      <c r="K18" s="28" t="n">
        <v>15</v>
      </c>
      <c r="L18" s="18"/>
    </row>
    <row r="19" customFormat="false" ht="13.8" hidden="false" customHeight="false" outlineLevel="0" collapsed="false">
      <c r="A19" s="9" t="s">
        <v>98</v>
      </c>
      <c r="B19" s="28" t="n">
        <v>23.5</v>
      </c>
      <c r="C19" s="28" t="n">
        <v>21</v>
      </c>
      <c r="D19" s="28" t="n">
        <v>23.75</v>
      </c>
      <c r="E19" s="28" t="n">
        <v>20.75</v>
      </c>
      <c r="F19" s="28" t="n">
        <v>19.5</v>
      </c>
      <c r="G19" s="28" t="n">
        <v>19.5</v>
      </c>
      <c r="H19" s="28" t="n">
        <v>17.5</v>
      </c>
      <c r="I19" s="28" t="n">
        <v>14.5</v>
      </c>
      <c r="J19" s="28" t="n">
        <v>20</v>
      </c>
      <c r="K19" s="28" t="n">
        <v>14</v>
      </c>
      <c r="L19" s="18"/>
    </row>
    <row r="20" customFormat="false" ht="13.8" hidden="false" customHeight="false" outlineLevel="0" collapsed="false">
      <c r="A20" s="9" t="s">
        <v>99</v>
      </c>
      <c r="B20" s="28" t="n">
        <v>22.5</v>
      </c>
      <c r="C20" s="28" t="n">
        <v>20.5</v>
      </c>
      <c r="D20" s="28" t="n">
        <v>23.2</v>
      </c>
      <c r="E20" s="28" t="n">
        <v>21</v>
      </c>
      <c r="F20" s="28" t="n">
        <v>21</v>
      </c>
      <c r="G20" s="28" t="n">
        <v>18.9</v>
      </c>
      <c r="H20" s="28" t="n">
        <v>17.8</v>
      </c>
      <c r="I20" s="28" t="n">
        <v>14.3</v>
      </c>
      <c r="J20" s="28" t="n">
        <v>20.6</v>
      </c>
      <c r="K20" s="28" t="n">
        <v>14.2</v>
      </c>
      <c r="L20" s="18"/>
    </row>
    <row r="21" customFormat="false" ht="13.8" hidden="false" customHeight="false" outlineLevel="0" collapsed="false">
      <c r="A21" s="9" t="s">
        <v>100</v>
      </c>
      <c r="B21" s="28" t="n">
        <v>21.45</v>
      </c>
      <c r="C21" s="28" t="n">
        <v>19.2</v>
      </c>
      <c r="D21" s="28" t="n">
        <v>23.35</v>
      </c>
      <c r="E21" s="28" t="n">
        <v>20.35</v>
      </c>
      <c r="F21" s="28" t="n">
        <v>19.95</v>
      </c>
      <c r="G21" s="28" t="n">
        <v>19.35</v>
      </c>
      <c r="H21" s="28" t="n">
        <v>17.45</v>
      </c>
      <c r="I21" s="28" t="n">
        <v>14.45</v>
      </c>
      <c r="J21" s="28" t="n">
        <v>22</v>
      </c>
      <c r="K21" s="28" t="n">
        <v>14.75</v>
      </c>
      <c r="L21" s="18"/>
    </row>
    <row r="22" customFormat="false" ht="13.8" hidden="false" customHeight="false" outlineLevel="0" collapsed="false">
      <c r="A22" s="9" t="s">
        <v>101</v>
      </c>
      <c r="B22" s="28" t="n">
        <v>22.65</v>
      </c>
      <c r="C22" s="28" t="n">
        <v>20.65</v>
      </c>
      <c r="D22" s="28" t="n">
        <v>23</v>
      </c>
      <c r="E22" s="28" t="n">
        <v>20.75</v>
      </c>
      <c r="F22" s="28" t="n">
        <v>20.25</v>
      </c>
      <c r="G22" s="28" t="n">
        <v>19.8</v>
      </c>
      <c r="H22" s="28" t="n">
        <v>17.25</v>
      </c>
      <c r="I22" s="28" t="n">
        <v>15</v>
      </c>
      <c r="J22" s="28" t="n">
        <v>19.75</v>
      </c>
      <c r="K22" s="28" t="n">
        <v>14.25</v>
      </c>
      <c r="L22" s="18"/>
    </row>
    <row r="23" customFormat="false" ht="13.8" hidden="false" customHeight="false" outlineLevel="0" collapsed="false">
      <c r="A23" s="9" t="s">
        <v>102</v>
      </c>
      <c r="B23" s="28" t="n">
        <v>23</v>
      </c>
      <c r="C23" s="28" t="n">
        <v>20.7</v>
      </c>
      <c r="D23" s="28" t="n">
        <v>22.5</v>
      </c>
      <c r="E23" s="28" t="n">
        <v>20.95</v>
      </c>
      <c r="F23" s="28" t="n">
        <v>22.25</v>
      </c>
      <c r="G23" s="28" t="n">
        <v>20.75</v>
      </c>
      <c r="H23" s="28" t="n">
        <v>18</v>
      </c>
      <c r="I23" s="28" t="n">
        <v>14.75</v>
      </c>
      <c r="J23" s="28" t="n">
        <v>20.5</v>
      </c>
      <c r="K23" s="28" t="n">
        <v>15.25</v>
      </c>
      <c r="L23" s="18"/>
    </row>
    <row r="24" customFormat="false" ht="13.8" hidden="false" customHeight="false" outlineLevel="0" collapsed="false">
      <c r="A24" s="9" t="s">
        <v>103</v>
      </c>
      <c r="B24" s="28" t="n">
        <v>22</v>
      </c>
      <c r="C24" s="28" t="n">
        <v>19.5</v>
      </c>
      <c r="D24" s="28" t="n">
        <v>23.25</v>
      </c>
      <c r="E24" s="28" t="n">
        <v>20.5</v>
      </c>
      <c r="F24" s="28" t="n">
        <v>21.25</v>
      </c>
      <c r="G24" s="28" t="n">
        <v>19.75</v>
      </c>
      <c r="H24" s="28" t="n">
        <v>17.75</v>
      </c>
      <c r="I24" s="28" t="n">
        <v>14.75</v>
      </c>
      <c r="J24" s="28" t="n">
        <v>20.5</v>
      </c>
      <c r="K24" s="28" t="n">
        <v>14.25</v>
      </c>
      <c r="L24" s="18"/>
    </row>
    <row r="25" customFormat="false" ht="13.8" hidden="false" customHeight="false" outlineLevel="0" collapsed="false">
      <c r="A25" s="9" t="s">
        <v>104</v>
      </c>
      <c r="B25" s="28" t="n">
        <v>22.9</v>
      </c>
      <c r="C25" s="28" t="n">
        <v>21.2</v>
      </c>
      <c r="D25" s="28" t="n">
        <v>24.6</v>
      </c>
      <c r="E25" s="28" t="n">
        <v>21.5</v>
      </c>
      <c r="F25" s="28" t="n">
        <v>21.2</v>
      </c>
      <c r="G25" s="28" t="n">
        <v>20</v>
      </c>
      <c r="H25" s="28" t="n">
        <v>18.7</v>
      </c>
      <c r="I25" s="28" t="n">
        <v>15</v>
      </c>
      <c r="J25" s="28" t="n">
        <v>21.5</v>
      </c>
      <c r="K25" s="28" t="n">
        <v>14.2</v>
      </c>
      <c r="L25" s="18"/>
    </row>
    <row r="26" customFormat="false" ht="13.8" hidden="false" customHeight="false" outlineLevel="0" collapsed="false">
      <c r="A26" s="9" t="s">
        <v>105</v>
      </c>
      <c r="B26" s="28" t="n">
        <v>21.45</v>
      </c>
      <c r="C26" s="28" t="n">
        <v>18.9</v>
      </c>
      <c r="D26" s="28" t="n">
        <v>23.2</v>
      </c>
      <c r="E26" s="28" t="n">
        <v>20.25</v>
      </c>
      <c r="F26" s="28" t="n">
        <v>19.95</v>
      </c>
      <c r="G26" s="28" t="n">
        <v>19.2</v>
      </c>
      <c r="H26" s="28" t="n">
        <v>17.35</v>
      </c>
      <c r="I26" s="28" t="n">
        <v>14.35</v>
      </c>
      <c r="J26" s="28" t="n">
        <v>21.8</v>
      </c>
      <c r="K26" s="28" t="n">
        <v>14.65</v>
      </c>
      <c r="L26" s="18"/>
    </row>
    <row r="27" customFormat="false" ht="13.8" hidden="false" customHeight="false" outlineLevel="0" collapsed="false">
      <c r="A27" s="9" t="s">
        <v>106</v>
      </c>
      <c r="B27" s="28" t="n">
        <v>22.5</v>
      </c>
      <c r="C27" s="28" t="n">
        <v>21.25</v>
      </c>
      <c r="D27" s="28" t="n">
        <v>23.1</v>
      </c>
      <c r="E27" s="28" t="n">
        <v>20.6</v>
      </c>
      <c r="F27" s="28" t="n">
        <v>21</v>
      </c>
      <c r="G27" s="28" t="n">
        <v>19.5</v>
      </c>
      <c r="H27" s="28" t="n">
        <v>16.6</v>
      </c>
      <c r="I27" s="28" t="n">
        <v>14.35</v>
      </c>
      <c r="J27" s="28" t="n">
        <v>20.75</v>
      </c>
      <c r="K27" s="28" t="n">
        <v>14.1</v>
      </c>
      <c r="L27" s="18"/>
    </row>
    <row r="28" customFormat="false" ht="13.8" hidden="false" customHeight="false" outlineLevel="0" collapsed="false">
      <c r="A28" s="9" t="s">
        <v>107</v>
      </c>
      <c r="B28" s="28" t="n">
        <v>22.5</v>
      </c>
      <c r="C28" s="28" t="n">
        <v>21</v>
      </c>
      <c r="D28" s="28" t="n">
        <v>23</v>
      </c>
      <c r="E28" s="28" t="n">
        <v>21.75</v>
      </c>
      <c r="F28" s="28" t="n">
        <v>22.75</v>
      </c>
      <c r="G28" s="28" t="n">
        <v>20.35</v>
      </c>
      <c r="H28" s="28" t="n">
        <v>17.2</v>
      </c>
      <c r="I28" s="28" t="n">
        <v>14.85</v>
      </c>
      <c r="J28" s="28" t="n">
        <v>22.35</v>
      </c>
      <c r="K28" s="28" t="n">
        <v>16</v>
      </c>
      <c r="L28" s="18"/>
    </row>
    <row r="29" customFormat="false" ht="13.8" hidden="false" customHeight="false" outlineLevel="0" collapsed="false">
      <c r="A29" s="9" t="s">
        <v>108</v>
      </c>
      <c r="B29" s="28" t="n">
        <v>22.75</v>
      </c>
      <c r="C29" s="28" t="n">
        <v>20.5</v>
      </c>
      <c r="D29" s="28" t="n">
        <v>22.75</v>
      </c>
      <c r="E29" s="28" t="n">
        <v>19.5</v>
      </c>
      <c r="F29" s="28" t="n">
        <v>20.5</v>
      </c>
      <c r="G29" s="28" t="n">
        <v>19.75</v>
      </c>
      <c r="H29" s="28" t="n">
        <v>17.25</v>
      </c>
      <c r="I29" s="28" t="n">
        <v>14.25</v>
      </c>
      <c r="J29" s="28" t="n">
        <v>21.5</v>
      </c>
      <c r="K29" s="28" t="n">
        <v>14.25</v>
      </c>
      <c r="L29" s="18"/>
    </row>
    <row r="30" customFormat="false" ht="13.8" hidden="false" customHeight="false" outlineLevel="0" collapsed="false">
      <c r="A30" s="9" t="s">
        <v>109</v>
      </c>
      <c r="B30" s="28" t="n">
        <v>21.75</v>
      </c>
      <c r="C30" s="28" t="n">
        <v>19.35</v>
      </c>
      <c r="D30" s="28" t="n">
        <v>21.75</v>
      </c>
      <c r="E30" s="28" t="n">
        <v>19.5</v>
      </c>
      <c r="F30" s="28" t="n">
        <v>20.5</v>
      </c>
      <c r="G30" s="28" t="n">
        <v>19</v>
      </c>
      <c r="H30" s="28" t="n">
        <v>16.35</v>
      </c>
      <c r="I30" s="28" t="n">
        <v>14.1</v>
      </c>
      <c r="J30" s="28" t="n">
        <v>20.85</v>
      </c>
      <c r="K30" s="28" t="n">
        <v>13.85</v>
      </c>
      <c r="L30" s="18"/>
    </row>
    <row r="31" customFormat="false" ht="13.8" hidden="false" customHeight="false" outlineLevel="0" collapsed="false">
      <c r="A31" s="9" t="s">
        <v>110</v>
      </c>
      <c r="B31" s="28" t="n">
        <v>21.35</v>
      </c>
      <c r="C31" s="28" t="n">
        <v>19.2</v>
      </c>
      <c r="D31" s="28" t="n">
        <v>23.2</v>
      </c>
      <c r="E31" s="28" t="n">
        <v>20.3</v>
      </c>
      <c r="F31" s="28" t="n">
        <v>20</v>
      </c>
      <c r="G31" s="28" t="n">
        <v>19.3</v>
      </c>
      <c r="H31" s="28" t="n">
        <v>17.5</v>
      </c>
      <c r="I31" s="28" t="n">
        <v>14.4</v>
      </c>
      <c r="J31" s="28" t="n">
        <v>21.9</v>
      </c>
      <c r="K31" s="28" t="n">
        <v>14.8</v>
      </c>
      <c r="L31" s="18"/>
    </row>
    <row r="32" customFormat="false" ht="13.8" hidden="false" customHeight="false" outlineLevel="0" collapsed="false">
      <c r="A32" s="9" t="s">
        <v>111</v>
      </c>
      <c r="B32" s="28" t="n">
        <v>21.25</v>
      </c>
      <c r="C32" s="28" t="n">
        <v>21.25</v>
      </c>
      <c r="D32" s="28" t="n">
        <v>22.25</v>
      </c>
      <c r="E32" s="28" t="n">
        <v>21.25</v>
      </c>
      <c r="F32" s="28" t="n">
        <v>18</v>
      </c>
      <c r="G32" s="28" t="n">
        <v>20</v>
      </c>
      <c r="H32" s="28" t="n">
        <v>17.25</v>
      </c>
      <c r="I32" s="28" t="n">
        <v>14.65</v>
      </c>
      <c r="J32" s="28" t="n">
        <v>21</v>
      </c>
      <c r="K32" s="28" t="n">
        <v>14.25</v>
      </c>
      <c r="L32" s="18"/>
    </row>
    <row r="33" customFormat="false" ht="13.8" hidden="false" customHeight="false" outlineLevel="0" collapsed="false">
      <c r="A33" s="9" t="s">
        <v>112</v>
      </c>
      <c r="B33" s="28" t="n">
        <v>22.1</v>
      </c>
      <c r="C33" s="28" t="n">
        <v>21.6</v>
      </c>
      <c r="D33" s="28" t="n">
        <v>22.35</v>
      </c>
      <c r="E33" s="28" t="n">
        <v>21.75</v>
      </c>
      <c r="F33" s="28" t="n">
        <v>19.75</v>
      </c>
      <c r="G33" s="28" t="n">
        <v>20.65</v>
      </c>
      <c r="H33" s="28" t="n">
        <v>16.7</v>
      </c>
      <c r="I33" s="28" t="n">
        <v>15.75</v>
      </c>
      <c r="J33" s="28" t="n">
        <v>20.85</v>
      </c>
      <c r="K33" s="28" t="n">
        <v>15.4</v>
      </c>
      <c r="L33" s="18"/>
    </row>
    <row r="34" customFormat="false" ht="13.8" hidden="false" customHeight="false" outlineLevel="0" collapsed="false">
      <c r="A34" s="9" t="s">
        <v>113</v>
      </c>
      <c r="B34" s="28" t="n">
        <v>21.25</v>
      </c>
      <c r="C34" s="28" t="n">
        <v>21.5</v>
      </c>
      <c r="D34" s="28" t="n">
        <v>22.1</v>
      </c>
      <c r="E34" s="28" t="n">
        <v>21.7</v>
      </c>
      <c r="F34" s="28" t="n">
        <v>19.75</v>
      </c>
      <c r="G34" s="28" t="n">
        <v>19.75</v>
      </c>
      <c r="H34" s="28" t="n">
        <v>18.2</v>
      </c>
      <c r="I34" s="28" t="n">
        <v>14.6</v>
      </c>
      <c r="J34" s="28" t="n">
        <v>21.25</v>
      </c>
      <c r="K34" s="28" t="n">
        <v>14.75</v>
      </c>
      <c r="L34" s="18"/>
    </row>
    <row r="35" customFormat="false" ht="13.8" hidden="false" customHeight="false" outlineLevel="0" collapsed="false">
      <c r="A35" s="9" t="s">
        <v>114</v>
      </c>
      <c r="B35" s="28" t="n">
        <v>21.9</v>
      </c>
      <c r="C35" s="28" t="n">
        <v>21</v>
      </c>
      <c r="D35" s="28" t="n">
        <v>22.75</v>
      </c>
      <c r="E35" s="28" t="n">
        <v>20.75</v>
      </c>
      <c r="F35" s="28" t="n">
        <v>19.7</v>
      </c>
      <c r="G35" s="28" t="n">
        <v>20</v>
      </c>
      <c r="H35" s="28" t="n">
        <v>18.45</v>
      </c>
      <c r="I35" s="28" t="n">
        <v>14.3</v>
      </c>
      <c r="J35" s="28" t="n">
        <v>20.75</v>
      </c>
      <c r="K35" s="28" t="n">
        <v>15.1</v>
      </c>
      <c r="L35" s="18"/>
    </row>
    <row r="36" customFormat="false" ht="13.8" hidden="false" customHeight="false" outlineLevel="0" collapsed="false">
      <c r="A36" s="9" t="s">
        <v>115</v>
      </c>
      <c r="B36" s="28" t="n">
        <v>21.2</v>
      </c>
      <c r="C36" s="28" t="n">
        <v>18.9</v>
      </c>
      <c r="D36" s="28" t="n">
        <v>23.3</v>
      </c>
      <c r="E36" s="28" t="n">
        <v>20.3</v>
      </c>
      <c r="F36" s="28" t="n">
        <v>19.9</v>
      </c>
      <c r="G36" s="28" t="n">
        <v>19.3</v>
      </c>
      <c r="H36" s="28" t="n">
        <v>17.4</v>
      </c>
      <c r="I36" s="28" t="n">
        <v>14.5</v>
      </c>
      <c r="J36" s="28" t="n">
        <v>22</v>
      </c>
      <c r="K36" s="28" t="n">
        <v>14.4</v>
      </c>
      <c r="L36" s="18"/>
    </row>
    <row r="37" customFormat="false" ht="13.8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</sheetData>
  <mergeCells count="3">
    <mergeCell ref="A1:K13"/>
    <mergeCell ref="A15:A16"/>
    <mergeCell ref="B15:K1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8" activeCellId="0" sqref="A8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9" min="1" style="1" width="11.53"/>
    <col collapsed="false" customWidth="true" hidden="false" outlineLevel="0" max="10" min="10" style="1" width="4.45"/>
    <col collapsed="false" customWidth="false" hidden="false" outlineLevel="0" max="16384" min="11" style="1" width="11.53"/>
  </cols>
  <sheetData>
    <row r="1" customFormat="false" ht="13.8" hidden="false" customHeight="true" outlineLevel="0" collapsed="false">
      <c r="A1" s="31" t="s">
        <v>116</v>
      </c>
      <c r="B1" s="31"/>
      <c r="C1" s="31"/>
      <c r="D1" s="31"/>
      <c r="E1" s="31"/>
      <c r="F1" s="31"/>
      <c r="G1" s="31"/>
      <c r="H1" s="31"/>
      <c r="I1" s="31"/>
      <c r="J1" s="8"/>
    </row>
    <row r="2" customFormat="false" ht="13.8" hidden="false" customHeight="fals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8"/>
    </row>
    <row r="3" customFormat="false" ht="13.8" hidden="false" customHeight="fals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8"/>
    </row>
    <row r="4" customFormat="false" ht="13.8" hidden="false" customHeight="fals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8"/>
    </row>
    <row r="5" customFormat="false" ht="13.8" hidden="false" customHeight="fals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8"/>
    </row>
    <row r="6" customFormat="false" ht="13.8" hidden="false" customHeight="fals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8"/>
    </row>
    <row r="7" customFormat="false" ht="13.8" hidden="false" customHeight="false" outlineLevel="0" collapsed="false">
      <c r="A7" s="31"/>
      <c r="B7" s="31"/>
      <c r="C7" s="31"/>
      <c r="D7" s="31"/>
      <c r="E7" s="31"/>
      <c r="F7" s="31"/>
      <c r="G7" s="31"/>
      <c r="H7" s="31"/>
      <c r="I7" s="31"/>
      <c r="J7" s="8"/>
    </row>
    <row r="8" customFormat="false" ht="13.8" hidden="false" customHeight="false" outlineLevel="0" collapsed="false">
      <c r="A8" s="16" t="s">
        <v>117</v>
      </c>
      <c r="B8" s="16"/>
      <c r="C8" s="16"/>
      <c r="D8" s="16" t="s">
        <v>118</v>
      </c>
      <c r="E8" s="16"/>
      <c r="F8" s="16"/>
      <c r="G8" s="16"/>
      <c r="H8" s="16"/>
      <c r="I8" s="16"/>
      <c r="J8" s="8"/>
    </row>
    <row r="9" customFormat="false" ht="13.8" hidden="false" customHeight="false" outlineLevel="0" collapsed="false">
      <c r="A9" s="16"/>
      <c r="B9" s="16"/>
      <c r="C9" s="16"/>
      <c r="D9" s="9" t="n">
        <v>1</v>
      </c>
      <c r="E9" s="9" t="n">
        <v>2</v>
      </c>
      <c r="F9" s="9" t="n">
        <v>3</v>
      </c>
      <c r="G9" s="9" t="n">
        <v>4</v>
      </c>
      <c r="H9" s="9" t="n">
        <v>5</v>
      </c>
      <c r="I9" s="9" t="n">
        <v>6</v>
      </c>
      <c r="J9" s="8"/>
    </row>
    <row r="10" customFormat="false" ht="13.8" hidden="false" customHeight="false" outlineLevel="0" collapsed="false">
      <c r="A10" s="9" t="s">
        <v>119</v>
      </c>
      <c r="B10" s="9" t="s">
        <v>120</v>
      </c>
      <c r="C10" s="9" t="s">
        <v>121</v>
      </c>
      <c r="D10" s="28" t="n">
        <v>3029</v>
      </c>
      <c r="E10" s="28" t="n">
        <v>3857</v>
      </c>
      <c r="F10" s="28" t="n">
        <v>2448</v>
      </c>
      <c r="G10" s="28" t="n">
        <v>2448</v>
      </c>
      <c r="H10" s="28" t="n">
        <v>3543</v>
      </c>
      <c r="I10" s="28" t="n">
        <v>4314</v>
      </c>
      <c r="J10" s="8"/>
    </row>
    <row r="11" customFormat="false" ht="13.8" hidden="false" customHeight="false" outlineLevel="0" collapsed="false">
      <c r="A11" s="9" t="s">
        <v>119</v>
      </c>
      <c r="B11" s="9" t="s">
        <v>120</v>
      </c>
      <c r="C11" s="9" t="s">
        <v>122</v>
      </c>
      <c r="D11" s="28" t="n">
        <v>2438</v>
      </c>
      <c r="E11" s="28" t="n">
        <v>3086</v>
      </c>
      <c r="F11" s="28" t="n">
        <v>3771</v>
      </c>
      <c r="G11" s="28" t="n">
        <v>4657</v>
      </c>
      <c r="H11" s="28" t="n">
        <v>1962</v>
      </c>
      <c r="I11" s="28" t="n">
        <v>3210</v>
      </c>
      <c r="J11" s="8"/>
    </row>
    <row r="12" customFormat="false" ht="13.8" hidden="false" customHeight="false" outlineLevel="0" collapsed="false">
      <c r="A12" s="9" t="s">
        <v>119</v>
      </c>
      <c r="B12" s="9" t="s">
        <v>123</v>
      </c>
      <c r="C12" s="9" t="s">
        <v>121</v>
      </c>
      <c r="D12" s="28" t="n">
        <v>3448</v>
      </c>
      <c r="E12" s="28" t="n">
        <v>3600</v>
      </c>
      <c r="F12" s="28" t="n">
        <v>3895</v>
      </c>
      <c r="G12" s="28" t="n">
        <v>4267</v>
      </c>
      <c r="H12" s="28" t="n">
        <v>3086</v>
      </c>
      <c r="I12" s="28" t="n">
        <v>3657</v>
      </c>
      <c r="J12" s="8"/>
    </row>
    <row r="13" customFormat="false" ht="13.8" hidden="false" customHeight="false" outlineLevel="0" collapsed="false">
      <c r="A13" s="9" t="s">
        <v>119</v>
      </c>
      <c r="B13" s="9" t="s">
        <v>123</v>
      </c>
      <c r="C13" s="9" t="s">
        <v>122</v>
      </c>
      <c r="D13" s="28" t="n">
        <v>3533</v>
      </c>
      <c r="E13" s="28" t="n">
        <v>5048</v>
      </c>
      <c r="F13" s="28" t="n">
        <v>3467</v>
      </c>
      <c r="G13" s="28" t="n">
        <v>4095</v>
      </c>
      <c r="H13" s="28" t="n">
        <v>1876</v>
      </c>
      <c r="I13" s="28" t="n">
        <v>2895</v>
      </c>
      <c r="J13" s="8"/>
    </row>
    <row r="14" customFormat="false" ht="13.8" hidden="false" customHeight="false" outlineLevel="0" collapsed="false">
      <c r="A14" s="9" t="s">
        <v>124</v>
      </c>
      <c r="B14" s="9" t="s">
        <v>120</v>
      </c>
      <c r="C14" s="9" t="s">
        <v>121</v>
      </c>
      <c r="D14" s="28" t="n">
        <v>3362</v>
      </c>
      <c r="E14" s="28" t="n">
        <v>3714</v>
      </c>
      <c r="F14" s="28" t="n">
        <v>3429</v>
      </c>
      <c r="G14" s="28" t="n">
        <v>3190</v>
      </c>
      <c r="H14" s="28" t="n">
        <v>2686</v>
      </c>
      <c r="I14" s="28" t="n">
        <v>4038</v>
      </c>
      <c r="J14" s="8"/>
    </row>
    <row r="15" customFormat="false" ht="13.8" hidden="false" customHeight="false" outlineLevel="0" collapsed="false">
      <c r="A15" s="9" t="s">
        <v>124</v>
      </c>
      <c r="B15" s="9" t="s">
        <v>120</v>
      </c>
      <c r="C15" s="9" t="s">
        <v>122</v>
      </c>
      <c r="D15" s="28" t="n">
        <v>4905</v>
      </c>
      <c r="E15" s="28" t="n">
        <v>6295</v>
      </c>
      <c r="F15" s="28" t="n">
        <v>4924</v>
      </c>
      <c r="G15" s="28" t="n">
        <v>4952</v>
      </c>
      <c r="H15" s="28" t="n">
        <v>5381</v>
      </c>
      <c r="I15" s="28" t="n">
        <v>5543</v>
      </c>
      <c r="J15" s="8"/>
    </row>
    <row r="16" customFormat="false" ht="13.8" hidden="false" customHeight="false" outlineLevel="0" collapsed="false">
      <c r="A16" s="9" t="s">
        <v>124</v>
      </c>
      <c r="B16" s="9" t="s">
        <v>123</v>
      </c>
      <c r="C16" s="9" t="s">
        <v>121</v>
      </c>
      <c r="D16" s="28" t="n">
        <v>4171</v>
      </c>
      <c r="E16" s="28" t="n">
        <v>3114</v>
      </c>
      <c r="F16" s="28" t="n">
        <v>4124</v>
      </c>
      <c r="G16" s="28" t="n">
        <v>3981</v>
      </c>
      <c r="H16" s="28" t="n">
        <v>3038</v>
      </c>
      <c r="I16" s="28" t="n">
        <v>3590</v>
      </c>
      <c r="J16" s="8"/>
    </row>
    <row r="17" customFormat="false" ht="13.8" hidden="false" customHeight="false" outlineLevel="0" collapsed="false">
      <c r="A17" s="9" t="s">
        <v>124</v>
      </c>
      <c r="B17" s="9" t="s">
        <v>123</v>
      </c>
      <c r="C17" s="9" t="s">
        <v>122</v>
      </c>
      <c r="D17" s="28" t="n">
        <v>4476</v>
      </c>
      <c r="E17" s="28" t="n">
        <v>4752</v>
      </c>
      <c r="F17" s="28" t="n">
        <v>4848</v>
      </c>
      <c r="G17" s="28" t="n">
        <v>4676</v>
      </c>
      <c r="H17" s="28" t="n">
        <v>6829</v>
      </c>
      <c r="I17" s="28" t="n">
        <v>3771</v>
      </c>
      <c r="J17" s="8"/>
    </row>
    <row r="18" customFormat="false" ht="13.8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</sheetData>
  <mergeCells count="3">
    <mergeCell ref="A1:I7"/>
    <mergeCell ref="A8:C9"/>
    <mergeCell ref="D8:I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M12" activeCellId="0" sqref="M12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" min="1" style="19" width="11.53"/>
    <col collapsed="false" customWidth="true" hidden="false" outlineLevel="0" max="4" min="2" style="19" width="5.91"/>
    <col collapsed="false" customWidth="false" hidden="false" outlineLevel="0" max="1024" min="5" style="19" width="11.53"/>
  </cols>
  <sheetData>
    <row r="1" customFormat="false" ht="13.8" hidden="false" customHeight="true" outlineLevel="0" collapsed="false">
      <c r="A1" s="31" t="s">
        <v>125</v>
      </c>
      <c r="B1" s="31"/>
      <c r="C1" s="31"/>
      <c r="D1" s="31"/>
      <c r="E1" s="31"/>
      <c r="F1" s="31"/>
      <c r="G1" s="31"/>
      <c r="H1" s="31"/>
      <c r="I1" s="31"/>
    </row>
    <row r="2" customFormat="false" ht="13.8" hidden="false" customHeight="false" outlineLevel="0" collapsed="false">
      <c r="A2" s="31"/>
      <c r="B2" s="31"/>
      <c r="C2" s="31"/>
      <c r="D2" s="31"/>
      <c r="E2" s="31"/>
      <c r="F2" s="31"/>
      <c r="G2" s="31"/>
      <c r="H2" s="31"/>
      <c r="I2" s="31"/>
    </row>
    <row r="3" customFormat="false" ht="13.8" hidden="false" customHeight="false" outlineLevel="0" collapsed="false">
      <c r="A3" s="31"/>
      <c r="B3" s="31"/>
      <c r="C3" s="31"/>
      <c r="D3" s="31"/>
      <c r="E3" s="31"/>
      <c r="F3" s="31"/>
      <c r="G3" s="31"/>
      <c r="H3" s="31"/>
      <c r="I3" s="31"/>
    </row>
    <row r="4" customFormat="false" ht="13.8" hidden="false" customHeight="false" outlineLevel="0" collapsed="false">
      <c r="A4" s="31"/>
      <c r="B4" s="31"/>
      <c r="C4" s="31"/>
      <c r="D4" s="31"/>
      <c r="E4" s="31"/>
      <c r="F4" s="31"/>
      <c r="G4" s="31"/>
      <c r="H4" s="31"/>
      <c r="I4" s="31"/>
    </row>
    <row r="5" customFormat="false" ht="13.8" hidden="false" customHeight="false" outlineLevel="0" collapsed="false">
      <c r="A5" s="31"/>
      <c r="B5" s="31"/>
      <c r="C5" s="31"/>
      <c r="D5" s="31"/>
      <c r="E5" s="31"/>
      <c r="F5" s="31"/>
      <c r="G5" s="31"/>
      <c r="H5" s="31"/>
      <c r="I5" s="31"/>
    </row>
    <row r="6" customFormat="false" ht="13.8" hidden="false" customHeight="false" outlineLevel="0" collapsed="false">
      <c r="A6" s="31"/>
      <c r="B6" s="31"/>
      <c r="C6" s="31"/>
      <c r="D6" s="31"/>
      <c r="E6" s="31"/>
      <c r="F6" s="31"/>
      <c r="G6" s="31"/>
      <c r="H6" s="31"/>
      <c r="I6" s="31"/>
    </row>
    <row r="7" customFormat="false" ht="13.8" hidden="false" customHeight="false" outlineLevel="0" collapsed="false">
      <c r="A7" s="31"/>
      <c r="B7" s="31"/>
      <c r="C7" s="31"/>
      <c r="D7" s="31"/>
      <c r="E7" s="31"/>
      <c r="F7" s="31"/>
      <c r="G7" s="31"/>
      <c r="H7" s="31"/>
      <c r="I7" s="31"/>
    </row>
    <row r="8" customFormat="false" ht="13.8" hidden="false" customHeight="false" outlineLevel="0" collapsed="false">
      <c r="A8" s="31"/>
      <c r="B8" s="31"/>
      <c r="C8" s="31"/>
      <c r="D8" s="31"/>
      <c r="E8" s="31"/>
      <c r="F8" s="31"/>
      <c r="G8" s="31"/>
      <c r="H8" s="31"/>
      <c r="I8" s="31"/>
    </row>
    <row r="9" customFormat="false" ht="13.8" hidden="false" customHeight="false" outlineLevel="0" collapsed="false">
      <c r="A9" s="31"/>
      <c r="B9" s="31"/>
      <c r="C9" s="31"/>
      <c r="D9" s="31"/>
      <c r="E9" s="31"/>
      <c r="F9" s="31"/>
      <c r="G9" s="31"/>
      <c r="H9" s="31"/>
      <c r="I9" s="31"/>
    </row>
    <row r="10" customFormat="false" ht="13.8" hidden="false" customHeight="false" outlineLevel="0" collapsed="false">
      <c r="A10" s="31"/>
      <c r="B10" s="31"/>
      <c r="C10" s="31"/>
      <c r="D10" s="31"/>
      <c r="E10" s="31"/>
      <c r="F10" s="31"/>
      <c r="G10" s="31"/>
      <c r="H10" s="31"/>
      <c r="I10" s="31"/>
    </row>
    <row r="11" customFormat="false" ht="13.8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13.8" hidden="false" customHeight="false" outlineLevel="0" collapsed="false">
      <c r="A12" s="8"/>
      <c r="B12" s="16" t="s">
        <v>117</v>
      </c>
      <c r="C12" s="16"/>
      <c r="D12" s="16"/>
      <c r="E12" s="16" t="s">
        <v>126</v>
      </c>
      <c r="F12" s="16"/>
      <c r="G12" s="16"/>
      <c r="H12" s="16"/>
      <c r="I12" s="18"/>
    </row>
    <row r="13" customFormat="false" ht="13.8" hidden="false" customHeight="false" outlineLevel="0" collapsed="false">
      <c r="A13" s="8"/>
      <c r="B13" s="16"/>
      <c r="C13" s="16"/>
      <c r="D13" s="16"/>
      <c r="E13" s="21" t="n">
        <v>1</v>
      </c>
      <c r="F13" s="21" t="n">
        <v>2</v>
      </c>
      <c r="G13" s="21" t="n">
        <v>3</v>
      </c>
      <c r="H13" s="21" t="n">
        <v>4</v>
      </c>
      <c r="I13" s="18"/>
    </row>
    <row r="14" customFormat="false" ht="13.8" hidden="false" customHeight="false" outlineLevel="0" collapsed="false">
      <c r="A14" s="8"/>
      <c r="B14" s="9" t="s">
        <v>127</v>
      </c>
      <c r="C14" s="9" t="s">
        <v>128</v>
      </c>
      <c r="D14" s="9" t="s">
        <v>120</v>
      </c>
      <c r="E14" s="21" t="n">
        <v>1255</v>
      </c>
      <c r="F14" s="21" t="n">
        <v>1250</v>
      </c>
      <c r="G14" s="21" t="n">
        <v>908</v>
      </c>
      <c r="H14" s="21" t="n">
        <v>1431</v>
      </c>
      <c r="I14" s="18"/>
    </row>
    <row r="15" customFormat="false" ht="13.8" hidden="false" customHeight="false" outlineLevel="0" collapsed="false">
      <c r="A15" s="8"/>
      <c r="B15" s="9" t="s">
        <v>127</v>
      </c>
      <c r="C15" s="9" t="s">
        <v>128</v>
      </c>
      <c r="D15" s="9" t="s">
        <v>123</v>
      </c>
      <c r="E15" s="21" t="n">
        <v>556</v>
      </c>
      <c r="F15" s="21" t="n">
        <v>476</v>
      </c>
      <c r="G15" s="21" t="n">
        <v>588</v>
      </c>
      <c r="H15" s="21" t="n">
        <v>500</v>
      </c>
      <c r="I15" s="18"/>
    </row>
    <row r="16" customFormat="false" ht="13.8" hidden="false" customHeight="false" outlineLevel="0" collapsed="false">
      <c r="A16" s="8"/>
      <c r="B16" s="9" t="s">
        <v>127</v>
      </c>
      <c r="C16" s="9" t="s">
        <v>129</v>
      </c>
      <c r="D16" s="9" t="s">
        <v>120</v>
      </c>
      <c r="E16" s="21" t="n">
        <v>714</v>
      </c>
      <c r="F16" s="21" t="n">
        <v>770</v>
      </c>
      <c r="G16" s="21" t="n">
        <v>667</v>
      </c>
      <c r="H16" s="21" t="n">
        <v>667</v>
      </c>
      <c r="I16" s="18"/>
    </row>
    <row r="17" customFormat="false" ht="13.8" hidden="false" customHeight="false" outlineLevel="0" collapsed="false">
      <c r="A17" s="8"/>
      <c r="B17" s="9" t="s">
        <v>127</v>
      </c>
      <c r="C17" s="9" t="s">
        <v>129</v>
      </c>
      <c r="D17" s="9" t="s">
        <v>123</v>
      </c>
      <c r="E17" s="21" t="n">
        <v>417</v>
      </c>
      <c r="F17" s="21" t="n">
        <v>454</v>
      </c>
      <c r="G17" s="21" t="n">
        <v>454</v>
      </c>
      <c r="H17" s="21" t="n">
        <v>385</v>
      </c>
      <c r="I17" s="18"/>
    </row>
    <row r="18" customFormat="false" ht="13.8" hidden="false" customHeight="false" outlineLevel="0" collapsed="false">
      <c r="A18" s="8"/>
      <c r="B18" s="9" t="s">
        <v>130</v>
      </c>
      <c r="C18" s="9" t="s">
        <v>128</v>
      </c>
      <c r="D18" s="9" t="s">
        <v>120</v>
      </c>
      <c r="E18" s="21" t="n">
        <v>1428</v>
      </c>
      <c r="F18" s="21" t="n">
        <v>1444</v>
      </c>
      <c r="G18" s="21" t="n">
        <v>1667</v>
      </c>
      <c r="H18" s="21" t="n">
        <v>1428</v>
      </c>
      <c r="I18" s="18"/>
    </row>
    <row r="19" customFormat="false" ht="13.8" hidden="false" customHeight="false" outlineLevel="0" collapsed="false">
      <c r="A19" s="8"/>
      <c r="B19" s="9" t="s">
        <v>130</v>
      </c>
      <c r="C19" s="9" t="s">
        <v>128</v>
      </c>
      <c r="D19" s="9" t="s">
        <v>123</v>
      </c>
      <c r="E19" s="21" t="n">
        <v>625</v>
      </c>
      <c r="F19" s="21" t="n">
        <v>526</v>
      </c>
      <c r="G19" s="21" t="n">
        <v>667</v>
      </c>
      <c r="H19" s="21" t="n">
        <v>526</v>
      </c>
      <c r="I19" s="18"/>
    </row>
    <row r="20" customFormat="false" ht="13.8" hidden="false" customHeight="false" outlineLevel="0" collapsed="false">
      <c r="A20" s="8"/>
      <c r="B20" s="9" t="s">
        <v>130</v>
      </c>
      <c r="C20" s="9" t="s">
        <v>129</v>
      </c>
      <c r="D20" s="9" t="s">
        <v>120</v>
      </c>
      <c r="E20" s="21" t="n">
        <v>769</v>
      </c>
      <c r="F20" s="21" t="n">
        <v>911</v>
      </c>
      <c r="G20" s="21" t="n">
        <v>1000</v>
      </c>
      <c r="H20" s="21" t="n">
        <v>1254</v>
      </c>
      <c r="I20" s="18"/>
    </row>
    <row r="21" customFormat="false" ht="13.8" hidden="false" customHeight="false" outlineLevel="0" collapsed="false">
      <c r="A21" s="8"/>
      <c r="B21" s="9" t="s">
        <v>130</v>
      </c>
      <c r="C21" s="9" t="s">
        <v>129</v>
      </c>
      <c r="D21" s="9" t="s">
        <v>123</v>
      </c>
      <c r="E21" s="21" t="n">
        <v>370</v>
      </c>
      <c r="F21" s="21" t="n">
        <v>476</v>
      </c>
      <c r="G21" s="21" t="n">
        <v>417</v>
      </c>
      <c r="H21" s="21" t="n">
        <v>357</v>
      </c>
      <c r="I21" s="18"/>
    </row>
    <row r="22" customFormat="false" ht="13.8" hidden="false" customHeight="false" outlineLevel="0" collapsed="false">
      <c r="A22" s="8"/>
      <c r="B22" s="9" t="s">
        <v>131</v>
      </c>
      <c r="C22" s="9" t="s">
        <v>128</v>
      </c>
      <c r="D22" s="9" t="s">
        <v>120</v>
      </c>
      <c r="E22" s="21" t="n">
        <v>1660</v>
      </c>
      <c r="F22" s="21" t="n">
        <v>1662</v>
      </c>
      <c r="G22" s="21" t="n">
        <v>1667</v>
      </c>
      <c r="H22" s="21" t="n">
        <v>1667</v>
      </c>
      <c r="I22" s="18"/>
    </row>
    <row r="23" customFormat="false" ht="13.8" hidden="false" customHeight="false" outlineLevel="0" collapsed="false">
      <c r="A23" s="8"/>
      <c r="B23" s="9" t="s">
        <v>131</v>
      </c>
      <c r="C23" s="9" t="s">
        <v>128</v>
      </c>
      <c r="D23" s="9" t="s">
        <v>123</v>
      </c>
      <c r="E23" s="21" t="n">
        <v>526</v>
      </c>
      <c r="F23" s="21" t="n">
        <v>714</v>
      </c>
      <c r="G23" s="21" t="n">
        <v>588</v>
      </c>
      <c r="H23" s="21" t="n">
        <v>714</v>
      </c>
      <c r="I23" s="18"/>
    </row>
    <row r="24" customFormat="false" ht="13.8" hidden="false" customHeight="false" outlineLevel="0" collapsed="false">
      <c r="A24" s="8"/>
      <c r="B24" s="9" t="s">
        <v>131</v>
      </c>
      <c r="C24" s="9" t="s">
        <v>129</v>
      </c>
      <c r="D24" s="9" t="s">
        <v>120</v>
      </c>
      <c r="E24" s="21" t="n">
        <v>625</v>
      </c>
      <c r="F24" s="21" t="n">
        <v>909</v>
      </c>
      <c r="G24" s="21" t="n">
        <v>909</v>
      </c>
      <c r="H24" s="21" t="n">
        <v>667</v>
      </c>
      <c r="I24" s="18"/>
    </row>
    <row r="25" customFormat="false" ht="13.8" hidden="false" customHeight="false" outlineLevel="0" collapsed="false">
      <c r="A25" s="8"/>
      <c r="B25" s="9" t="s">
        <v>131</v>
      </c>
      <c r="C25" s="9" t="s">
        <v>129</v>
      </c>
      <c r="D25" s="9" t="s">
        <v>123</v>
      </c>
      <c r="E25" s="21" t="n">
        <v>526</v>
      </c>
      <c r="F25" s="21" t="n">
        <v>556</v>
      </c>
      <c r="G25" s="21" t="n">
        <v>400</v>
      </c>
      <c r="H25" s="21" t="n">
        <v>476</v>
      </c>
      <c r="I25" s="18"/>
    </row>
    <row r="26" customFormat="false" ht="13.8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</sheetData>
  <mergeCells count="3">
    <mergeCell ref="A1:I10"/>
    <mergeCell ref="B12:D13"/>
    <mergeCell ref="E12:H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20" width="11.53"/>
  </cols>
  <sheetData>
    <row r="1" customFormat="false" ht="12.8" hidden="false" customHeight="false" outlineLevel="0" collapsed="false">
      <c r="A1" s="20" t="s">
        <v>132</v>
      </c>
      <c r="B1" s="20" t="s">
        <v>133</v>
      </c>
      <c r="C1" s="20" t="s">
        <v>134</v>
      </c>
    </row>
    <row r="2" customFormat="false" ht="13.8" hidden="false" customHeight="false" outlineLevel="0" collapsed="false">
      <c r="A2" s="20" t="s">
        <v>66</v>
      </c>
      <c r="B2" s="20" t="s">
        <v>63</v>
      </c>
      <c r="C2" s="34" t="n">
        <v>26.2</v>
      </c>
    </row>
    <row r="3" customFormat="false" ht="13.8" hidden="false" customHeight="false" outlineLevel="0" collapsed="false">
      <c r="A3" s="20" t="s">
        <v>66</v>
      </c>
      <c r="B3" s="20" t="s">
        <v>64</v>
      </c>
      <c r="C3" s="34" t="n">
        <v>24.8</v>
      </c>
    </row>
    <row r="4" customFormat="false" ht="13.8" hidden="false" customHeight="false" outlineLevel="0" collapsed="false">
      <c r="A4" s="20" t="s">
        <v>67</v>
      </c>
      <c r="B4" s="20" t="s">
        <v>63</v>
      </c>
      <c r="C4" s="34" t="n">
        <v>25.7</v>
      </c>
    </row>
    <row r="5" customFormat="false" ht="13.8" hidden="false" customHeight="false" outlineLevel="0" collapsed="false">
      <c r="A5" s="20" t="s">
        <v>67</v>
      </c>
      <c r="B5" s="20" t="s">
        <v>64</v>
      </c>
      <c r="C5" s="34" t="n">
        <v>19.6</v>
      </c>
    </row>
    <row r="6" customFormat="false" ht="13.8" hidden="false" customHeight="false" outlineLevel="0" collapsed="false">
      <c r="A6" s="20" t="s">
        <v>68</v>
      </c>
      <c r="B6" s="20" t="s">
        <v>63</v>
      </c>
      <c r="C6" s="34" t="n">
        <v>22.8</v>
      </c>
    </row>
    <row r="7" customFormat="false" ht="13.8" hidden="false" customHeight="false" outlineLevel="0" collapsed="false">
      <c r="A7" s="20" t="s">
        <v>68</v>
      </c>
      <c r="B7" s="20" t="s">
        <v>64</v>
      </c>
      <c r="C7" s="34" t="n">
        <v>19.8</v>
      </c>
    </row>
    <row r="8" customFormat="false" ht="13.8" hidden="false" customHeight="false" outlineLevel="0" collapsed="false">
      <c r="A8" s="20" t="s">
        <v>66</v>
      </c>
      <c r="B8" s="20" t="s">
        <v>63</v>
      </c>
      <c r="C8" s="34" t="n">
        <v>26</v>
      </c>
    </row>
    <row r="9" customFormat="false" ht="13.8" hidden="false" customHeight="false" outlineLevel="0" collapsed="false">
      <c r="A9" s="20" t="s">
        <v>66</v>
      </c>
      <c r="B9" s="20" t="s">
        <v>64</v>
      </c>
      <c r="C9" s="34" t="n">
        <v>24.6</v>
      </c>
    </row>
    <row r="10" customFormat="false" ht="13.8" hidden="false" customHeight="false" outlineLevel="0" collapsed="false">
      <c r="A10" s="20" t="s">
        <v>67</v>
      </c>
      <c r="B10" s="20" t="s">
        <v>63</v>
      </c>
      <c r="C10" s="34" t="n">
        <v>26.3</v>
      </c>
    </row>
    <row r="11" customFormat="false" ht="13.8" hidden="false" customHeight="false" outlineLevel="0" collapsed="false">
      <c r="A11" s="20" t="s">
        <v>67</v>
      </c>
      <c r="B11" s="20" t="s">
        <v>64</v>
      </c>
      <c r="C11" s="34" t="n">
        <v>21.1</v>
      </c>
    </row>
    <row r="12" customFormat="false" ht="13.8" hidden="false" customHeight="false" outlineLevel="0" collapsed="false">
      <c r="A12" s="20" t="s">
        <v>68</v>
      </c>
      <c r="B12" s="20" t="s">
        <v>63</v>
      </c>
      <c r="C12" s="34" t="n">
        <v>19.4</v>
      </c>
    </row>
    <row r="13" customFormat="false" ht="13.8" hidden="false" customHeight="false" outlineLevel="0" collapsed="false">
      <c r="A13" s="20" t="s">
        <v>68</v>
      </c>
      <c r="B13" s="20" t="s">
        <v>64</v>
      </c>
      <c r="C13" s="34" t="n">
        <v>21.4</v>
      </c>
    </row>
    <row r="14" customFormat="false" ht="13.8" hidden="false" customHeight="false" outlineLevel="0" collapsed="false">
      <c r="A14" s="20" t="s">
        <v>66</v>
      </c>
      <c r="B14" s="20" t="s">
        <v>63</v>
      </c>
      <c r="C14" s="34" t="n">
        <v>25</v>
      </c>
    </row>
    <row r="15" customFormat="false" ht="13.8" hidden="false" customHeight="false" outlineLevel="0" collapsed="false">
      <c r="A15" s="20" t="s">
        <v>66</v>
      </c>
      <c r="B15" s="20" t="s">
        <v>64</v>
      </c>
      <c r="C15" s="34" t="n">
        <v>26.7</v>
      </c>
    </row>
    <row r="16" customFormat="false" ht="13.8" hidden="false" customHeight="false" outlineLevel="0" collapsed="false">
      <c r="A16" s="20" t="s">
        <v>67</v>
      </c>
      <c r="B16" s="20" t="s">
        <v>63</v>
      </c>
      <c r="C16" s="34" t="n">
        <v>25.1</v>
      </c>
    </row>
    <row r="17" customFormat="false" ht="13.8" hidden="false" customHeight="false" outlineLevel="0" collapsed="false">
      <c r="A17" s="20" t="s">
        <v>67</v>
      </c>
      <c r="B17" s="20" t="s">
        <v>64</v>
      </c>
      <c r="C17" s="34" t="n">
        <v>19</v>
      </c>
    </row>
    <row r="18" customFormat="false" ht="13.8" hidden="false" customHeight="false" outlineLevel="0" collapsed="false">
      <c r="A18" s="20" t="s">
        <v>68</v>
      </c>
      <c r="B18" s="20" t="s">
        <v>63</v>
      </c>
      <c r="C18" s="34" t="n">
        <v>18.8</v>
      </c>
    </row>
    <row r="19" customFormat="false" ht="13.8" hidden="false" customHeight="false" outlineLevel="0" collapsed="false">
      <c r="A19" s="20" t="s">
        <v>68</v>
      </c>
      <c r="B19" s="20" t="s">
        <v>64</v>
      </c>
      <c r="C19" s="34" t="n">
        <v>22.8</v>
      </c>
    </row>
    <row r="20" customFormat="false" ht="13.8" hidden="false" customHeight="false" outlineLevel="0" collapsed="false">
      <c r="A20" s="20" t="s">
        <v>66</v>
      </c>
      <c r="B20" s="20" t="s">
        <v>63</v>
      </c>
      <c r="C20" s="34" t="n">
        <v>25.4</v>
      </c>
    </row>
    <row r="21" customFormat="false" ht="13.8" hidden="false" customHeight="false" outlineLevel="0" collapsed="false">
      <c r="A21" s="20" t="s">
        <v>66</v>
      </c>
      <c r="B21" s="20" t="s">
        <v>64</v>
      </c>
      <c r="C21" s="34" t="n">
        <v>25.2</v>
      </c>
    </row>
    <row r="22" customFormat="false" ht="13.8" hidden="false" customHeight="false" outlineLevel="0" collapsed="false">
      <c r="A22" s="20" t="s">
        <v>67</v>
      </c>
      <c r="B22" s="20" t="s">
        <v>63</v>
      </c>
      <c r="C22" s="34" t="n">
        <v>26.4</v>
      </c>
    </row>
    <row r="23" customFormat="false" ht="13.8" hidden="false" customHeight="false" outlineLevel="0" collapsed="false">
      <c r="A23" s="20" t="s">
        <v>67</v>
      </c>
      <c r="B23" s="20" t="s">
        <v>64</v>
      </c>
      <c r="C23" s="34" t="n">
        <v>18.6</v>
      </c>
    </row>
    <row r="24" customFormat="false" ht="13.8" hidden="false" customHeight="false" outlineLevel="0" collapsed="false">
      <c r="A24" s="20" t="s">
        <v>68</v>
      </c>
      <c r="B24" s="20" t="s">
        <v>63</v>
      </c>
      <c r="C24" s="34" t="n">
        <v>19.2</v>
      </c>
    </row>
    <row r="25" customFormat="false" ht="13.8" hidden="false" customHeight="false" outlineLevel="0" collapsed="false">
      <c r="A25" s="20" t="s">
        <v>68</v>
      </c>
      <c r="B25" s="20" t="s">
        <v>64</v>
      </c>
      <c r="C25" s="34" t="n">
        <v>21.3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135</v>
      </c>
      <c r="B1" s="0" t="s">
        <v>136</v>
      </c>
      <c r="C1" s="0" t="s">
        <v>137</v>
      </c>
      <c r="D1" s="0" t="s">
        <v>138</v>
      </c>
      <c r="E1" s="0" t="s">
        <v>139</v>
      </c>
    </row>
    <row r="2" customFormat="false" ht="12.8" hidden="false" customHeight="false" outlineLevel="0" collapsed="false">
      <c r="A2" s="0" t="s">
        <v>119</v>
      </c>
      <c r="B2" s="0" t="s">
        <v>120</v>
      </c>
      <c r="C2" s="0" t="s">
        <v>121</v>
      </c>
      <c r="D2" s="0" t="n">
        <v>1</v>
      </c>
      <c r="E2" s="0" t="n">
        <v>3029</v>
      </c>
    </row>
    <row r="3" customFormat="false" ht="12.8" hidden="false" customHeight="false" outlineLevel="0" collapsed="false">
      <c r="A3" s="0" t="s">
        <v>119</v>
      </c>
      <c r="B3" s="0" t="s">
        <v>120</v>
      </c>
      <c r="C3" s="0" t="s">
        <v>122</v>
      </c>
      <c r="D3" s="0" t="n">
        <v>1</v>
      </c>
      <c r="E3" s="0" t="n">
        <v>2438</v>
      </c>
    </row>
    <row r="4" customFormat="false" ht="12.8" hidden="false" customHeight="false" outlineLevel="0" collapsed="false">
      <c r="A4" s="0" t="s">
        <v>119</v>
      </c>
      <c r="B4" s="0" t="s">
        <v>123</v>
      </c>
      <c r="C4" s="0" t="s">
        <v>121</v>
      </c>
      <c r="D4" s="0" t="n">
        <v>1</v>
      </c>
      <c r="E4" s="0" t="n">
        <v>3448</v>
      </c>
    </row>
    <row r="5" customFormat="false" ht="12.8" hidden="false" customHeight="false" outlineLevel="0" collapsed="false">
      <c r="A5" s="0" t="s">
        <v>119</v>
      </c>
      <c r="B5" s="0" t="s">
        <v>123</v>
      </c>
      <c r="C5" s="0" t="s">
        <v>122</v>
      </c>
      <c r="D5" s="0" t="n">
        <v>1</v>
      </c>
      <c r="E5" s="0" t="n">
        <v>3533</v>
      </c>
    </row>
    <row r="6" customFormat="false" ht="12.8" hidden="false" customHeight="false" outlineLevel="0" collapsed="false">
      <c r="A6" s="0" t="s">
        <v>124</v>
      </c>
      <c r="B6" s="0" t="s">
        <v>120</v>
      </c>
      <c r="C6" s="0" t="s">
        <v>121</v>
      </c>
      <c r="D6" s="0" t="n">
        <v>1</v>
      </c>
      <c r="E6" s="0" t="n">
        <v>3362</v>
      </c>
    </row>
    <row r="7" customFormat="false" ht="12.8" hidden="false" customHeight="false" outlineLevel="0" collapsed="false">
      <c r="A7" s="0" t="s">
        <v>124</v>
      </c>
      <c r="B7" s="0" t="s">
        <v>120</v>
      </c>
      <c r="C7" s="0" t="s">
        <v>122</v>
      </c>
      <c r="D7" s="0" t="n">
        <v>1</v>
      </c>
      <c r="E7" s="0" t="n">
        <v>4905</v>
      </c>
    </row>
    <row r="8" customFormat="false" ht="12.8" hidden="false" customHeight="false" outlineLevel="0" collapsed="false">
      <c r="A8" s="0" t="s">
        <v>124</v>
      </c>
      <c r="B8" s="0" t="s">
        <v>123</v>
      </c>
      <c r="C8" s="0" t="s">
        <v>121</v>
      </c>
      <c r="D8" s="0" t="n">
        <v>1</v>
      </c>
      <c r="E8" s="0" t="n">
        <v>4171</v>
      </c>
    </row>
    <row r="9" customFormat="false" ht="12.8" hidden="false" customHeight="false" outlineLevel="0" collapsed="false">
      <c r="A9" s="0" t="s">
        <v>124</v>
      </c>
      <c r="B9" s="0" t="s">
        <v>123</v>
      </c>
      <c r="C9" s="0" t="s">
        <v>122</v>
      </c>
      <c r="D9" s="0" t="n">
        <v>1</v>
      </c>
      <c r="E9" s="0" t="n">
        <v>4476</v>
      </c>
    </row>
    <row r="10" customFormat="false" ht="12.8" hidden="false" customHeight="false" outlineLevel="0" collapsed="false">
      <c r="A10" s="0" t="s">
        <v>119</v>
      </c>
      <c r="B10" s="0" t="s">
        <v>120</v>
      </c>
      <c r="C10" s="0" t="s">
        <v>121</v>
      </c>
      <c r="D10" s="0" t="n">
        <v>2</v>
      </c>
      <c r="E10" s="0" t="n">
        <v>3857</v>
      </c>
    </row>
    <row r="11" customFormat="false" ht="12.8" hidden="false" customHeight="false" outlineLevel="0" collapsed="false">
      <c r="A11" s="0" t="s">
        <v>119</v>
      </c>
      <c r="B11" s="0" t="s">
        <v>120</v>
      </c>
      <c r="C11" s="0" t="s">
        <v>122</v>
      </c>
      <c r="D11" s="0" t="n">
        <v>2</v>
      </c>
      <c r="E11" s="0" t="n">
        <v>3086</v>
      </c>
    </row>
    <row r="12" customFormat="false" ht="12.8" hidden="false" customHeight="false" outlineLevel="0" collapsed="false">
      <c r="A12" s="0" t="s">
        <v>119</v>
      </c>
      <c r="B12" s="0" t="s">
        <v>123</v>
      </c>
      <c r="C12" s="0" t="s">
        <v>121</v>
      </c>
      <c r="D12" s="0" t="n">
        <v>2</v>
      </c>
      <c r="E12" s="0" t="n">
        <v>3600</v>
      </c>
    </row>
    <row r="13" customFormat="false" ht="12.8" hidden="false" customHeight="false" outlineLevel="0" collapsed="false">
      <c r="A13" s="0" t="s">
        <v>119</v>
      </c>
      <c r="B13" s="0" t="s">
        <v>123</v>
      </c>
      <c r="C13" s="0" t="s">
        <v>122</v>
      </c>
      <c r="D13" s="0" t="n">
        <v>2</v>
      </c>
      <c r="E13" s="0" t="n">
        <v>5048</v>
      </c>
    </row>
    <row r="14" customFormat="false" ht="12.8" hidden="false" customHeight="false" outlineLevel="0" collapsed="false">
      <c r="A14" s="0" t="s">
        <v>124</v>
      </c>
      <c r="B14" s="0" t="s">
        <v>120</v>
      </c>
      <c r="C14" s="0" t="s">
        <v>121</v>
      </c>
      <c r="D14" s="0" t="n">
        <v>2</v>
      </c>
      <c r="E14" s="0" t="n">
        <v>3714</v>
      </c>
    </row>
    <row r="15" customFormat="false" ht="12.8" hidden="false" customHeight="false" outlineLevel="0" collapsed="false">
      <c r="A15" s="0" t="s">
        <v>124</v>
      </c>
      <c r="B15" s="0" t="s">
        <v>120</v>
      </c>
      <c r="C15" s="0" t="s">
        <v>122</v>
      </c>
      <c r="D15" s="0" t="n">
        <v>2</v>
      </c>
      <c r="E15" s="0" t="n">
        <v>6295</v>
      </c>
    </row>
    <row r="16" customFormat="false" ht="12.8" hidden="false" customHeight="false" outlineLevel="0" collapsed="false">
      <c r="A16" s="0" t="s">
        <v>124</v>
      </c>
      <c r="B16" s="0" t="s">
        <v>123</v>
      </c>
      <c r="C16" s="0" t="s">
        <v>121</v>
      </c>
      <c r="D16" s="0" t="n">
        <v>2</v>
      </c>
      <c r="E16" s="0" t="n">
        <v>3114</v>
      </c>
    </row>
    <row r="17" customFormat="false" ht="12.8" hidden="false" customHeight="false" outlineLevel="0" collapsed="false">
      <c r="A17" s="0" t="s">
        <v>124</v>
      </c>
      <c r="B17" s="0" t="s">
        <v>123</v>
      </c>
      <c r="C17" s="0" t="s">
        <v>122</v>
      </c>
      <c r="D17" s="0" t="n">
        <v>2</v>
      </c>
      <c r="E17" s="0" t="n">
        <v>4752</v>
      </c>
    </row>
    <row r="18" customFormat="false" ht="12.8" hidden="false" customHeight="false" outlineLevel="0" collapsed="false">
      <c r="A18" s="0" t="s">
        <v>119</v>
      </c>
      <c r="B18" s="0" t="s">
        <v>120</v>
      </c>
      <c r="C18" s="0" t="s">
        <v>121</v>
      </c>
      <c r="D18" s="0" t="n">
        <v>3</v>
      </c>
      <c r="E18" s="0" t="n">
        <v>2448</v>
      </c>
    </row>
    <row r="19" customFormat="false" ht="12.8" hidden="false" customHeight="false" outlineLevel="0" collapsed="false">
      <c r="A19" s="0" t="s">
        <v>119</v>
      </c>
      <c r="B19" s="0" t="s">
        <v>120</v>
      </c>
      <c r="C19" s="0" t="s">
        <v>122</v>
      </c>
      <c r="D19" s="0" t="n">
        <v>3</v>
      </c>
      <c r="E19" s="0" t="n">
        <v>3771</v>
      </c>
    </row>
    <row r="20" customFormat="false" ht="12.8" hidden="false" customHeight="false" outlineLevel="0" collapsed="false">
      <c r="A20" s="0" t="s">
        <v>119</v>
      </c>
      <c r="B20" s="0" t="s">
        <v>123</v>
      </c>
      <c r="C20" s="0" t="s">
        <v>121</v>
      </c>
      <c r="D20" s="0" t="n">
        <v>3</v>
      </c>
      <c r="E20" s="0" t="n">
        <v>3895</v>
      </c>
    </row>
    <row r="21" customFormat="false" ht="12.8" hidden="false" customHeight="false" outlineLevel="0" collapsed="false">
      <c r="A21" s="0" t="s">
        <v>119</v>
      </c>
      <c r="B21" s="0" t="s">
        <v>123</v>
      </c>
      <c r="C21" s="0" t="s">
        <v>122</v>
      </c>
      <c r="D21" s="0" t="n">
        <v>3</v>
      </c>
      <c r="E21" s="0" t="n">
        <v>3467</v>
      </c>
    </row>
    <row r="22" customFormat="false" ht="12.8" hidden="false" customHeight="false" outlineLevel="0" collapsed="false">
      <c r="A22" s="0" t="s">
        <v>124</v>
      </c>
      <c r="B22" s="0" t="s">
        <v>120</v>
      </c>
      <c r="C22" s="0" t="s">
        <v>121</v>
      </c>
      <c r="D22" s="0" t="n">
        <v>3</v>
      </c>
      <c r="E22" s="0" t="n">
        <v>3429</v>
      </c>
    </row>
    <row r="23" customFormat="false" ht="12.8" hidden="false" customHeight="false" outlineLevel="0" collapsed="false">
      <c r="A23" s="0" t="s">
        <v>124</v>
      </c>
      <c r="B23" s="0" t="s">
        <v>120</v>
      </c>
      <c r="C23" s="0" t="s">
        <v>122</v>
      </c>
      <c r="D23" s="0" t="n">
        <v>3</v>
      </c>
      <c r="E23" s="0" t="n">
        <v>4924</v>
      </c>
    </row>
    <row r="24" customFormat="false" ht="12.8" hidden="false" customHeight="false" outlineLevel="0" collapsed="false">
      <c r="A24" s="0" t="s">
        <v>124</v>
      </c>
      <c r="B24" s="0" t="s">
        <v>123</v>
      </c>
      <c r="C24" s="0" t="s">
        <v>121</v>
      </c>
      <c r="D24" s="0" t="n">
        <v>3</v>
      </c>
      <c r="E24" s="0" t="n">
        <v>4124</v>
      </c>
    </row>
    <row r="25" customFormat="false" ht="12.8" hidden="false" customHeight="false" outlineLevel="0" collapsed="false">
      <c r="A25" s="0" t="s">
        <v>124</v>
      </c>
      <c r="B25" s="0" t="s">
        <v>123</v>
      </c>
      <c r="C25" s="0" t="s">
        <v>122</v>
      </c>
      <c r="D25" s="0" t="n">
        <v>3</v>
      </c>
      <c r="E25" s="0" t="n">
        <v>4848</v>
      </c>
    </row>
    <row r="26" customFormat="false" ht="12.8" hidden="false" customHeight="false" outlineLevel="0" collapsed="false">
      <c r="A26" s="0" t="s">
        <v>119</v>
      </c>
      <c r="B26" s="0" t="s">
        <v>120</v>
      </c>
      <c r="C26" s="0" t="s">
        <v>121</v>
      </c>
      <c r="D26" s="0" t="n">
        <v>4</v>
      </c>
      <c r="E26" s="0" t="n">
        <v>2448</v>
      </c>
    </row>
    <row r="27" customFormat="false" ht="12.8" hidden="false" customHeight="false" outlineLevel="0" collapsed="false">
      <c r="A27" s="0" t="s">
        <v>119</v>
      </c>
      <c r="B27" s="0" t="s">
        <v>120</v>
      </c>
      <c r="C27" s="0" t="s">
        <v>122</v>
      </c>
      <c r="D27" s="0" t="n">
        <v>4</v>
      </c>
      <c r="E27" s="0" t="n">
        <v>4657</v>
      </c>
    </row>
    <row r="28" customFormat="false" ht="12.8" hidden="false" customHeight="false" outlineLevel="0" collapsed="false">
      <c r="A28" s="0" t="s">
        <v>119</v>
      </c>
      <c r="B28" s="0" t="s">
        <v>123</v>
      </c>
      <c r="C28" s="0" t="s">
        <v>121</v>
      </c>
      <c r="D28" s="0" t="n">
        <v>4</v>
      </c>
      <c r="E28" s="0" t="n">
        <v>4267</v>
      </c>
    </row>
    <row r="29" customFormat="false" ht="12.8" hidden="false" customHeight="false" outlineLevel="0" collapsed="false">
      <c r="A29" s="0" t="s">
        <v>119</v>
      </c>
      <c r="B29" s="0" t="s">
        <v>123</v>
      </c>
      <c r="C29" s="0" t="s">
        <v>122</v>
      </c>
      <c r="D29" s="0" t="n">
        <v>4</v>
      </c>
      <c r="E29" s="0" t="n">
        <v>4095</v>
      </c>
    </row>
    <row r="30" customFormat="false" ht="12.8" hidden="false" customHeight="false" outlineLevel="0" collapsed="false">
      <c r="A30" s="0" t="s">
        <v>124</v>
      </c>
      <c r="B30" s="0" t="s">
        <v>120</v>
      </c>
      <c r="C30" s="0" t="s">
        <v>121</v>
      </c>
      <c r="D30" s="0" t="n">
        <v>4</v>
      </c>
      <c r="E30" s="0" t="n">
        <v>3190</v>
      </c>
    </row>
    <row r="31" customFormat="false" ht="12.8" hidden="false" customHeight="false" outlineLevel="0" collapsed="false">
      <c r="A31" s="0" t="s">
        <v>124</v>
      </c>
      <c r="B31" s="0" t="s">
        <v>120</v>
      </c>
      <c r="C31" s="0" t="s">
        <v>122</v>
      </c>
      <c r="D31" s="0" t="n">
        <v>4</v>
      </c>
      <c r="E31" s="0" t="n">
        <v>4952</v>
      </c>
    </row>
    <row r="32" customFormat="false" ht="12.8" hidden="false" customHeight="false" outlineLevel="0" collapsed="false">
      <c r="A32" s="0" t="s">
        <v>124</v>
      </c>
      <c r="B32" s="0" t="s">
        <v>123</v>
      </c>
      <c r="C32" s="0" t="s">
        <v>121</v>
      </c>
      <c r="D32" s="0" t="n">
        <v>4</v>
      </c>
      <c r="E32" s="0" t="n">
        <v>3981</v>
      </c>
    </row>
    <row r="33" customFormat="false" ht="12.8" hidden="false" customHeight="false" outlineLevel="0" collapsed="false">
      <c r="A33" s="0" t="s">
        <v>124</v>
      </c>
      <c r="B33" s="0" t="s">
        <v>123</v>
      </c>
      <c r="C33" s="0" t="s">
        <v>122</v>
      </c>
      <c r="D33" s="0" t="n">
        <v>4</v>
      </c>
      <c r="E33" s="0" t="n">
        <v>4676</v>
      </c>
    </row>
    <row r="34" customFormat="false" ht="12.8" hidden="false" customHeight="false" outlineLevel="0" collapsed="false">
      <c r="A34" s="0" t="s">
        <v>119</v>
      </c>
      <c r="B34" s="0" t="s">
        <v>120</v>
      </c>
      <c r="C34" s="0" t="s">
        <v>121</v>
      </c>
      <c r="D34" s="0" t="n">
        <v>5</v>
      </c>
      <c r="E34" s="0" t="n">
        <v>3543</v>
      </c>
    </row>
    <row r="35" customFormat="false" ht="12.8" hidden="false" customHeight="false" outlineLevel="0" collapsed="false">
      <c r="A35" s="0" t="s">
        <v>119</v>
      </c>
      <c r="B35" s="0" t="s">
        <v>120</v>
      </c>
      <c r="C35" s="0" t="s">
        <v>122</v>
      </c>
      <c r="D35" s="0" t="n">
        <v>5</v>
      </c>
      <c r="E35" s="0" t="n">
        <v>1962</v>
      </c>
    </row>
    <row r="36" customFormat="false" ht="12.8" hidden="false" customHeight="false" outlineLevel="0" collapsed="false">
      <c r="A36" s="0" t="s">
        <v>119</v>
      </c>
      <c r="B36" s="0" t="s">
        <v>123</v>
      </c>
      <c r="C36" s="0" t="s">
        <v>121</v>
      </c>
      <c r="D36" s="0" t="n">
        <v>5</v>
      </c>
      <c r="E36" s="0" t="n">
        <v>3086</v>
      </c>
    </row>
    <row r="37" customFormat="false" ht="12.8" hidden="false" customHeight="false" outlineLevel="0" collapsed="false">
      <c r="A37" s="0" t="s">
        <v>119</v>
      </c>
      <c r="B37" s="0" t="s">
        <v>123</v>
      </c>
      <c r="C37" s="0" t="s">
        <v>122</v>
      </c>
      <c r="D37" s="0" t="n">
        <v>5</v>
      </c>
      <c r="E37" s="0" t="n">
        <v>1876</v>
      </c>
    </row>
    <row r="38" customFormat="false" ht="12.8" hidden="false" customHeight="false" outlineLevel="0" collapsed="false">
      <c r="A38" s="0" t="s">
        <v>124</v>
      </c>
      <c r="B38" s="0" t="s">
        <v>120</v>
      </c>
      <c r="C38" s="0" t="s">
        <v>121</v>
      </c>
      <c r="D38" s="0" t="n">
        <v>5</v>
      </c>
      <c r="E38" s="0" t="n">
        <v>2686</v>
      </c>
    </row>
    <row r="39" customFormat="false" ht="12.8" hidden="false" customHeight="false" outlineLevel="0" collapsed="false">
      <c r="A39" s="0" t="s">
        <v>124</v>
      </c>
      <c r="B39" s="0" t="s">
        <v>120</v>
      </c>
      <c r="C39" s="0" t="s">
        <v>122</v>
      </c>
      <c r="D39" s="0" t="n">
        <v>5</v>
      </c>
      <c r="E39" s="0" t="n">
        <v>5381</v>
      </c>
    </row>
    <row r="40" customFormat="false" ht="12.8" hidden="false" customHeight="false" outlineLevel="0" collapsed="false">
      <c r="A40" s="0" t="s">
        <v>124</v>
      </c>
      <c r="B40" s="0" t="s">
        <v>123</v>
      </c>
      <c r="C40" s="0" t="s">
        <v>121</v>
      </c>
      <c r="D40" s="0" t="n">
        <v>5</v>
      </c>
      <c r="E40" s="0" t="n">
        <v>3038</v>
      </c>
    </row>
    <row r="41" customFormat="false" ht="12.8" hidden="false" customHeight="false" outlineLevel="0" collapsed="false">
      <c r="A41" s="0" t="s">
        <v>124</v>
      </c>
      <c r="B41" s="0" t="s">
        <v>123</v>
      </c>
      <c r="C41" s="0" t="s">
        <v>122</v>
      </c>
      <c r="D41" s="0" t="n">
        <v>5</v>
      </c>
      <c r="E41" s="0" t="n">
        <v>6829</v>
      </c>
    </row>
    <row r="42" customFormat="false" ht="12.8" hidden="false" customHeight="false" outlineLevel="0" collapsed="false">
      <c r="A42" s="0" t="s">
        <v>119</v>
      </c>
      <c r="B42" s="0" t="s">
        <v>120</v>
      </c>
      <c r="C42" s="0" t="s">
        <v>121</v>
      </c>
      <c r="D42" s="0" t="n">
        <v>6</v>
      </c>
      <c r="E42" s="0" t="n">
        <v>4314</v>
      </c>
    </row>
    <row r="43" customFormat="false" ht="12.8" hidden="false" customHeight="false" outlineLevel="0" collapsed="false">
      <c r="A43" s="0" t="s">
        <v>119</v>
      </c>
      <c r="B43" s="0" t="s">
        <v>120</v>
      </c>
      <c r="C43" s="0" t="s">
        <v>122</v>
      </c>
      <c r="D43" s="0" t="n">
        <v>6</v>
      </c>
      <c r="E43" s="0" t="n">
        <v>3210</v>
      </c>
    </row>
    <row r="44" customFormat="false" ht="12.8" hidden="false" customHeight="false" outlineLevel="0" collapsed="false">
      <c r="A44" s="0" t="s">
        <v>119</v>
      </c>
      <c r="B44" s="0" t="s">
        <v>123</v>
      </c>
      <c r="C44" s="0" t="s">
        <v>121</v>
      </c>
      <c r="D44" s="0" t="n">
        <v>6</v>
      </c>
      <c r="E44" s="0" t="n">
        <v>3657</v>
      </c>
    </row>
    <row r="45" customFormat="false" ht="12.8" hidden="false" customHeight="false" outlineLevel="0" collapsed="false">
      <c r="A45" s="0" t="s">
        <v>119</v>
      </c>
      <c r="B45" s="0" t="s">
        <v>123</v>
      </c>
      <c r="C45" s="0" t="s">
        <v>122</v>
      </c>
      <c r="D45" s="0" t="n">
        <v>6</v>
      </c>
      <c r="E45" s="0" t="n">
        <v>2895</v>
      </c>
    </row>
    <row r="46" customFormat="false" ht="12.8" hidden="false" customHeight="false" outlineLevel="0" collapsed="false">
      <c r="A46" s="0" t="s">
        <v>124</v>
      </c>
      <c r="B46" s="0" t="s">
        <v>120</v>
      </c>
      <c r="C46" s="0" t="s">
        <v>121</v>
      </c>
      <c r="D46" s="0" t="n">
        <v>6</v>
      </c>
      <c r="E46" s="0" t="n">
        <v>4038</v>
      </c>
    </row>
    <row r="47" customFormat="false" ht="12.8" hidden="false" customHeight="false" outlineLevel="0" collapsed="false">
      <c r="A47" s="0" t="s">
        <v>124</v>
      </c>
      <c r="B47" s="0" t="s">
        <v>120</v>
      </c>
      <c r="C47" s="0" t="s">
        <v>122</v>
      </c>
      <c r="D47" s="0" t="n">
        <v>6</v>
      </c>
      <c r="E47" s="0" t="n">
        <v>5543</v>
      </c>
    </row>
    <row r="48" customFormat="false" ht="12.8" hidden="false" customHeight="false" outlineLevel="0" collapsed="false">
      <c r="A48" s="0" t="s">
        <v>124</v>
      </c>
      <c r="B48" s="0" t="s">
        <v>123</v>
      </c>
      <c r="C48" s="0" t="s">
        <v>121</v>
      </c>
      <c r="D48" s="0" t="n">
        <v>6</v>
      </c>
      <c r="E48" s="0" t="n">
        <v>3590</v>
      </c>
    </row>
    <row r="49" customFormat="false" ht="12.8" hidden="false" customHeight="false" outlineLevel="0" collapsed="false">
      <c r="A49" s="0" t="s">
        <v>124</v>
      </c>
      <c r="B49" s="0" t="s">
        <v>123</v>
      </c>
      <c r="C49" s="0" t="s">
        <v>122</v>
      </c>
      <c r="D49" s="0" t="n">
        <v>6</v>
      </c>
      <c r="E49" s="0" t="n">
        <v>3771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2023-11-06T11:53:55Z</dcterms:created>
  <dc:creator/>
  <dc:description/>
  <dc:language>pt-BR</dc:language>
  <cp:lastModifiedBy/>
  <dcterms:modified xsi:type="dcterms:W3CDTF">2025-09-23T16:21:35Z</dcterms:modified>
  <cp:revision>25</cp:revision>
  <dc:subject/>
  <dc:title/>
</cp:coreProperties>
</file>